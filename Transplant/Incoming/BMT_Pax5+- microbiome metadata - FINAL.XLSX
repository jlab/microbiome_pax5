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AROLINA\Base de datos\Pax5 project\Antibiotic treatment\"/>
    </mc:Choice>
  </mc:AlternateContent>
  <bookViews>
    <workbookView xWindow="-15" yWindow="405" windowWidth="26415" windowHeight="12120" tabRatio="577"/>
  </bookViews>
  <sheets>
    <sheet name="Stools PAX5 BMT" sheetId="18" r:id="rId1"/>
  </sheets>
  <calcPr calcId="162913"/>
</workbook>
</file>

<file path=xl/calcChain.xml><?xml version="1.0" encoding="utf-8"?>
<calcChain xmlns="http://schemas.openxmlformats.org/spreadsheetml/2006/main">
  <c r="AH21" i="18" l="1"/>
  <c r="AH20" i="18"/>
  <c r="AH19" i="18"/>
  <c r="AC24" i="18"/>
  <c r="AC23" i="18"/>
  <c r="AC25" i="18"/>
  <c r="AH15" i="18" l="1"/>
  <c r="X25" i="18" l="1"/>
  <c r="X24" i="18"/>
  <c r="X23" i="18"/>
  <c r="X22" i="18"/>
  <c r="AC21" i="18" l="1"/>
  <c r="AC20" i="18"/>
  <c r="AC19" i="18"/>
  <c r="AC17" i="18"/>
  <c r="AC16" i="18"/>
  <c r="AH14" i="18"/>
  <c r="AH13" i="18"/>
  <c r="AH12" i="18"/>
  <c r="AH11" i="18"/>
  <c r="AC15" i="18" l="1"/>
  <c r="X21" i="18" l="1"/>
  <c r="X20" i="18"/>
  <c r="X19" i="18"/>
  <c r="X18" i="18"/>
  <c r="X17" i="18"/>
  <c r="X16" i="18"/>
  <c r="AC14" i="18"/>
  <c r="AC13" i="18"/>
  <c r="AC12" i="18"/>
  <c r="AC11" i="18"/>
  <c r="S24" i="18"/>
  <c r="S23" i="18"/>
  <c r="S22" i="18"/>
  <c r="S25" i="18"/>
  <c r="M24" i="18" l="1"/>
  <c r="M23" i="18"/>
  <c r="M22" i="18"/>
  <c r="M25" i="18"/>
  <c r="J25" i="18"/>
  <c r="J24" i="18"/>
  <c r="J23" i="18"/>
  <c r="J22" i="18"/>
  <c r="S21" i="18"/>
  <c r="S20" i="18"/>
  <c r="S19" i="18"/>
  <c r="S18" i="18"/>
  <c r="S17" i="18"/>
  <c r="S16" i="18"/>
  <c r="M21" i="18"/>
  <c r="M20" i="18"/>
  <c r="M19" i="18"/>
  <c r="M18" i="18"/>
  <c r="M17" i="18"/>
  <c r="M16" i="18"/>
  <c r="X15" i="18"/>
  <c r="X14" i="18"/>
  <c r="X13" i="18"/>
  <c r="X12" i="18"/>
  <c r="X11" i="18"/>
  <c r="S15" i="18"/>
  <c r="S14" i="18"/>
  <c r="S13" i="18"/>
  <c r="S12" i="18"/>
  <c r="S11" i="18"/>
  <c r="J21" i="18"/>
  <c r="J20" i="18"/>
  <c r="J19" i="18"/>
  <c r="J18" i="18"/>
  <c r="J17" i="18"/>
  <c r="J16" i="18"/>
  <c r="M15" i="18"/>
  <c r="J15" i="18"/>
  <c r="X10" i="18"/>
  <c r="X9" i="18"/>
  <c r="X8" i="18"/>
  <c r="X7" i="18"/>
  <c r="AC9" i="18"/>
  <c r="AC8" i="18"/>
  <c r="AC7" i="18"/>
  <c r="AH10" i="18"/>
  <c r="AH9" i="18"/>
  <c r="AH8" i="18"/>
  <c r="AH7" i="18"/>
  <c r="AH6" i="18"/>
  <c r="AC6" i="18"/>
  <c r="X6" i="18"/>
  <c r="S10" i="18"/>
  <c r="S9" i="18"/>
  <c r="S8" i="18"/>
  <c r="S7" i="18"/>
  <c r="S6" i="18"/>
  <c r="M14" i="18"/>
  <c r="M13" i="18"/>
  <c r="M12" i="18"/>
  <c r="M11" i="18"/>
  <c r="J14" i="18"/>
  <c r="J13" i="18"/>
  <c r="J12" i="18"/>
  <c r="J11" i="18"/>
  <c r="M10" i="18"/>
  <c r="M9" i="18"/>
  <c r="M8" i="18"/>
  <c r="M7" i="18"/>
  <c r="M6" i="18"/>
  <c r="J10" i="18"/>
  <c r="J9" i="18"/>
  <c r="J8" i="18"/>
  <c r="J7" i="18"/>
  <c r="J6" i="18"/>
</calcChain>
</file>

<file path=xl/sharedStrings.xml><?xml version="1.0" encoding="utf-8"?>
<sst xmlns="http://schemas.openxmlformats.org/spreadsheetml/2006/main" count="226" uniqueCount="148">
  <si>
    <t>Mouse number</t>
  </si>
  <si>
    <t>Mouse identification</t>
  </si>
  <si>
    <t>SEX</t>
  </si>
  <si>
    <t>Date of birth</t>
  </si>
  <si>
    <t>Age</t>
  </si>
  <si>
    <t>SM</t>
  </si>
  <si>
    <t>SMN</t>
  </si>
  <si>
    <t>Date of death</t>
  </si>
  <si>
    <t>Genotipe</t>
  </si>
  <si>
    <t>1N</t>
  </si>
  <si>
    <t>Female</t>
  </si>
  <si>
    <t>Stool weight (g)</t>
  </si>
  <si>
    <t>Stool DNA ng/ul</t>
  </si>
  <si>
    <t>BOX-1:</t>
  </si>
  <si>
    <t>DNA</t>
  </si>
  <si>
    <t>DATE</t>
  </si>
  <si>
    <t>AGE (Months)</t>
  </si>
  <si>
    <t>Stool DNA(location)</t>
  </si>
  <si>
    <t>Locations</t>
  </si>
  <si>
    <t>WT-BMT-Pax5+/-</t>
  </si>
  <si>
    <t>t = 0 (before BMT)</t>
  </si>
  <si>
    <t>Date of BMT</t>
  </si>
  <si>
    <t>Recipient Mouse ID</t>
  </si>
  <si>
    <t>Donor  mouse ID</t>
  </si>
  <si>
    <t>t = 2 weeks after BMT</t>
  </si>
  <si>
    <t>t = 8 weeks after BMT</t>
  </si>
  <si>
    <t>t = 4 weeks after BMT</t>
  </si>
  <si>
    <t>t = 6 weeks after BMT</t>
  </si>
  <si>
    <t>Donor and recipient  mice are all females</t>
  </si>
  <si>
    <t>WT-5</t>
  </si>
  <si>
    <t>WT-6</t>
  </si>
  <si>
    <t>WT-7</t>
  </si>
  <si>
    <t>WT-8</t>
  </si>
  <si>
    <t>WT-10</t>
  </si>
  <si>
    <t>CAGE-2</t>
  </si>
  <si>
    <t>WT-12</t>
  </si>
  <si>
    <t>WT-13</t>
  </si>
  <si>
    <t>WT-14</t>
  </si>
  <si>
    <t>WT-15</t>
  </si>
  <si>
    <t>WT-BMT-WT</t>
  </si>
  <si>
    <t>CAGE-4</t>
  </si>
  <si>
    <t>CAGE-3</t>
  </si>
  <si>
    <t>Box1- 5</t>
  </si>
  <si>
    <t>Box1- 6</t>
  </si>
  <si>
    <t>Box1- 7</t>
  </si>
  <si>
    <t>Box1- 8</t>
  </si>
  <si>
    <t>Box1- 10</t>
  </si>
  <si>
    <t>2N</t>
  </si>
  <si>
    <t>WT-20</t>
  </si>
  <si>
    <t>Box1- 17</t>
  </si>
  <si>
    <t>Box1- 18</t>
  </si>
  <si>
    <t>Box1- 19</t>
  </si>
  <si>
    <t>Box1- 20</t>
  </si>
  <si>
    <t>Box1- 21</t>
  </si>
  <si>
    <t>Box1- 12</t>
  </si>
  <si>
    <t>Box1- 13</t>
  </si>
  <si>
    <t>Box1- 14</t>
  </si>
  <si>
    <t>Box1- 15</t>
  </si>
  <si>
    <t>Box1- 25</t>
  </si>
  <si>
    <t>CAGE-5</t>
  </si>
  <si>
    <t>CAGE-6</t>
  </si>
  <si>
    <t>WT-21</t>
  </si>
  <si>
    <t>WT-22</t>
  </si>
  <si>
    <t>WT-24</t>
  </si>
  <si>
    <t>WT-25</t>
  </si>
  <si>
    <t>WT-26</t>
  </si>
  <si>
    <t>WT-28</t>
  </si>
  <si>
    <t>Box1- 26</t>
  </si>
  <si>
    <t>Box1- 27</t>
  </si>
  <si>
    <t>Box1- 29</t>
  </si>
  <si>
    <t>Box1- 30</t>
  </si>
  <si>
    <t>Box1- 31</t>
  </si>
  <si>
    <t>Box1- 33</t>
  </si>
  <si>
    <t>CAGE-7</t>
  </si>
  <si>
    <t>WT-30</t>
  </si>
  <si>
    <t>WT-31</t>
  </si>
  <si>
    <t>WT-32</t>
  </si>
  <si>
    <t>WT-36</t>
  </si>
  <si>
    <t>Box1- 39</t>
  </si>
  <si>
    <t>Box1- 40</t>
  </si>
  <si>
    <t>Box1- 41</t>
  </si>
  <si>
    <t>Box1- 42</t>
  </si>
  <si>
    <t>Box1- 34</t>
  </si>
  <si>
    <t>Box1- 35</t>
  </si>
  <si>
    <t>Box1- 36</t>
  </si>
  <si>
    <t>Box1- 37</t>
  </si>
  <si>
    <t>Box1- 38</t>
  </si>
  <si>
    <t>CAGE-8</t>
  </si>
  <si>
    <t>Box1- 45</t>
  </si>
  <si>
    <t>Box1- 46</t>
  </si>
  <si>
    <t>Box1- 47</t>
  </si>
  <si>
    <t>Box1- 51</t>
  </si>
  <si>
    <t>Box1- 43</t>
  </si>
  <si>
    <t>Box1- 60</t>
  </si>
  <si>
    <t>Box1- 61</t>
  </si>
  <si>
    <t>Box1- 62</t>
  </si>
  <si>
    <t>Box1- 63</t>
  </si>
  <si>
    <t>Box1- 64</t>
  </si>
  <si>
    <t>Box1- 65</t>
  </si>
  <si>
    <t>Box1- 56</t>
  </si>
  <si>
    <t>Box1- 57</t>
  </si>
  <si>
    <t>Box1- 58</t>
  </si>
  <si>
    <t>Box1- 59</t>
  </si>
  <si>
    <t>Box1- 52</t>
  </si>
  <si>
    <t>Box1- 53</t>
  </si>
  <si>
    <t>Box1- 54</t>
  </si>
  <si>
    <t>Box1- 55</t>
  </si>
  <si>
    <t>Box1- 66</t>
  </si>
  <si>
    <t>Box1- 67</t>
  </si>
  <si>
    <t>Box1- 68</t>
  </si>
  <si>
    <t>Box1- 69</t>
  </si>
  <si>
    <t>Box1- 70</t>
  </si>
  <si>
    <t>Box1- 71</t>
  </si>
  <si>
    <t>Box1- 72</t>
  </si>
  <si>
    <t>Box1- 73</t>
  </si>
  <si>
    <t>Box1- 74</t>
  </si>
  <si>
    <t>Box1- 76</t>
  </si>
  <si>
    <t>Box1- 77</t>
  </si>
  <si>
    <t>Box1- 78</t>
  </si>
  <si>
    <t>Box1- 79</t>
  </si>
  <si>
    <t>Box1- 80</t>
  </si>
  <si>
    <t>Box1- 81</t>
  </si>
  <si>
    <t>Box1- 82</t>
  </si>
  <si>
    <t>Box1- 83</t>
  </si>
  <si>
    <t>Box1- 84</t>
  </si>
  <si>
    <t>DNA stool samples from 5 different time-points</t>
  </si>
  <si>
    <t>Pax5+/-</t>
  </si>
  <si>
    <t xml:space="preserve">Pax5+/- </t>
  </si>
  <si>
    <t xml:space="preserve">WT </t>
  </si>
  <si>
    <t>WT</t>
  </si>
  <si>
    <t>Box1- 1</t>
  </si>
  <si>
    <t>Box1- 2</t>
  </si>
  <si>
    <t>Box1- 3</t>
  </si>
  <si>
    <t>Box1- 4</t>
  </si>
  <si>
    <t>Box1- 9</t>
  </si>
  <si>
    <t>Box1- 11</t>
  </si>
  <si>
    <t>Box1- 16</t>
  </si>
  <si>
    <t>Box1- 22</t>
  </si>
  <si>
    <t>Box1- 23</t>
  </si>
  <si>
    <t>Box1- 24</t>
  </si>
  <si>
    <t>Box1- 28</t>
  </si>
  <si>
    <t>Box1- 32</t>
  </si>
  <si>
    <t>Box1- 44</t>
  </si>
  <si>
    <t>Box1- 48</t>
  </si>
  <si>
    <t>Box1- 49</t>
  </si>
  <si>
    <t>Box1- 50</t>
  </si>
  <si>
    <t>Box1- 75</t>
  </si>
  <si>
    <t>Stool DNA from Pax5+/-_BMT experiment - Box1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</si>
</sst>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Fill="1" applyBorder="1"/>
    <xf numFmtId="0" fontId="0" fillId="0" borderId="0" xfId="0" applyFont="1"/>
    <xf numFmtId="0" fontId="4" fillId="0" borderId="2" xfId="0" applyFont="1" applyFill="1" applyBorder="1" applyAlignment="1">
      <alignment horizontal="center"/>
    </xf>
    <xf numFmtId="0" fontId="0" fillId="0" borderId="0" xfId="0" applyFont="1" applyFill="1"/>
    <xf numFmtId="0" fontId="4" fillId="0" borderId="2" xfId="0" applyFont="1" applyFill="1" applyBorder="1" applyAlignment="1">
      <alignment horizontal="center" wrapText="1"/>
    </xf>
    <xf numFmtId="0" fontId="5" fillId="2" borderId="2" xfId="0" applyFont="1" applyFill="1" applyBorder="1" applyAlignment="1"/>
    <xf numFmtId="0" fontId="3" fillId="6" borderId="2" xfId="0" applyFont="1" applyFill="1" applyBorder="1" applyAlignment="1"/>
    <xf numFmtId="0" fontId="3" fillId="7" borderId="2" xfId="0" applyFont="1" applyFill="1" applyBorder="1" applyAlignment="1"/>
    <xf numFmtId="0" fontId="3" fillId="8" borderId="2" xfId="0" applyFont="1" applyFill="1" applyBorder="1" applyAlignment="1"/>
    <xf numFmtId="0" fontId="3" fillId="8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14" fontId="6" fillId="5" borderId="2" xfId="0" applyNumberFormat="1" applyFont="1" applyFill="1" applyBorder="1" applyAlignment="1">
      <alignment horizontal="center" vertical="center"/>
    </xf>
    <xf numFmtId="14" fontId="1" fillId="5" borderId="2" xfId="0" applyNumberFormat="1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14" fontId="6" fillId="9" borderId="2" xfId="0" applyNumberFormat="1" applyFont="1" applyFill="1" applyBorder="1" applyAlignment="1">
      <alignment horizontal="center" vertical="center"/>
    </xf>
    <xf numFmtId="0" fontId="1" fillId="9" borderId="2" xfId="0" applyFont="1" applyFill="1" applyBorder="1"/>
    <xf numFmtId="0" fontId="1" fillId="9" borderId="2" xfId="0" applyFont="1" applyFill="1" applyBorder="1" applyAlignment="1">
      <alignment horizontal="center"/>
    </xf>
    <xf numFmtId="14" fontId="1" fillId="9" borderId="2" xfId="0" applyNumberFormat="1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/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/>
    <xf numFmtId="0" fontId="3" fillId="5" borderId="2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14" fontId="6" fillId="11" borderId="2" xfId="0" applyNumberFormat="1" applyFont="1" applyFill="1" applyBorder="1" applyAlignment="1">
      <alignment horizontal="center" vertical="center"/>
    </xf>
    <xf numFmtId="0" fontId="0" fillId="11" borderId="0" xfId="0" applyFont="1" applyFill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0" fontId="0" fillId="11" borderId="2" xfId="0" applyFont="1" applyFill="1" applyBorder="1" applyAlignment="1">
      <alignment horizontal="center" vertical="center"/>
    </xf>
    <xf numFmtId="0" fontId="0" fillId="11" borderId="2" xfId="0" applyFont="1" applyFill="1" applyBorder="1"/>
    <xf numFmtId="0" fontId="4" fillId="0" borderId="5" xfId="0" applyFont="1" applyFill="1" applyBorder="1" applyAlignment="1">
      <alignment horizontal="center" wrapText="1"/>
    </xf>
    <xf numFmtId="0" fontId="6" fillId="11" borderId="5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0" fillId="11" borderId="6" xfId="0" applyFont="1" applyFill="1" applyBorder="1" applyAlignment="1">
      <alignment horizontal="center" vertical="center"/>
    </xf>
    <xf numFmtId="0" fontId="0" fillId="11" borderId="6" xfId="0" applyFont="1" applyFill="1" applyBorder="1"/>
    <xf numFmtId="0" fontId="1" fillId="5" borderId="6" xfId="0" applyFont="1" applyFill="1" applyBorder="1" applyAlignment="1">
      <alignment horizontal="center"/>
    </xf>
    <xf numFmtId="0" fontId="1" fillId="9" borderId="6" xfId="0" applyFont="1" applyFill="1" applyBorder="1"/>
    <xf numFmtId="0" fontId="0" fillId="0" borderId="0" xfId="0" applyFont="1" applyFill="1" applyBorder="1"/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14" fontId="1" fillId="10" borderId="2" xfId="0" applyNumberFormat="1" applyFont="1" applyFill="1" applyBorder="1" applyAlignment="1">
      <alignment horizontal="center"/>
    </xf>
    <xf numFmtId="14" fontId="6" fillId="10" borderId="2" xfId="0" applyNumberFormat="1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/>
    </xf>
    <xf numFmtId="14" fontId="6" fillId="10" borderId="2" xfId="0" applyNumberFormat="1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14" fontId="1" fillId="12" borderId="2" xfId="0" applyNumberFormat="1" applyFont="1" applyFill="1" applyBorder="1" applyAlignment="1">
      <alignment horizontal="center" vertical="center"/>
    </xf>
    <xf numFmtId="14" fontId="6" fillId="12" borderId="2" xfId="0" applyNumberFormat="1" applyFont="1" applyFill="1" applyBorder="1" applyAlignment="1">
      <alignment horizontal="center" vertical="center"/>
    </xf>
    <xf numFmtId="0" fontId="1" fillId="12" borderId="2" xfId="0" applyFont="1" applyFill="1" applyBorder="1"/>
    <xf numFmtId="0" fontId="1" fillId="12" borderId="2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1" fillId="12" borderId="6" xfId="0" applyFont="1" applyFill="1" applyBorder="1"/>
    <xf numFmtId="0" fontId="1" fillId="8" borderId="2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14" fontId="7" fillId="8" borderId="2" xfId="0" applyNumberFormat="1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 vertical="center"/>
    </xf>
    <xf numFmtId="14" fontId="7" fillId="8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4" fontId="1" fillId="3" borderId="2" xfId="0" applyNumberFormat="1" applyFont="1" applyFill="1" applyBorder="1" applyAlignment="1">
      <alignment horizontal="center" vertical="center"/>
    </xf>
    <xf numFmtId="14" fontId="6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/>
    <xf numFmtId="0" fontId="1" fillId="5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5" fillId="13" borderId="9" xfId="0" applyFont="1" applyFill="1" applyBorder="1" applyAlignment="1">
      <alignment horizontal="center"/>
    </xf>
    <xf numFmtId="0" fontId="4" fillId="13" borderId="5" xfId="0" applyFont="1" applyFill="1" applyBorder="1" applyAlignment="1">
      <alignment horizontal="center" wrapText="1"/>
    </xf>
    <xf numFmtId="0" fontId="6" fillId="13" borderId="5" xfId="0" applyFont="1" applyFill="1" applyBorder="1" applyAlignment="1">
      <alignment horizontal="center" vertical="center"/>
    </xf>
    <xf numFmtId="0" fontId="6" fillId="13" borderId="4" xfId="0" applyFont="1" applyFill="1" applyBorder="1" applyAlignment="1">
      <alignment horizontal="center" vertical="center"/>
    </xf>
    <xf numFmtId="0" fontId="1" fillId="13" borderId="5" xfId="0" applyFont="1" applyFill="1" applyBorder="1" applyAlignment="1">
      <alignment horizontal="center" vertical="center"/>
    </xf>
    <xf numFmtId="0" fontId="1" fillId="13" borderId="5" xfId="0" applyFont="1" applyFill="1" applyBorder="1" applyAlignment="1">
      <alignment horizontal="center"/>
    </xf>
    <xf numFmtId="0" fontId="0" fillId="14" borderId="2" xfId="0" applyFont="1" applyFill="1" applyBorder="1"/>
    <xf numFmtId="14" fontId="1" fillId="14" borderId="2" xfId="0" applyNumberFormat="1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/>
    </xf>
    <xf numFmtId="0" fontId="0" fillId="8" borderId="5" xfId="0" applyFont="1" applyFill="1" applyBorder="1"/>
    <xf numFmtId="14" fontId="6" fillId="8" borderId="2" xfId="0" applyNumberFormat="1" applyFont="1" applyFill="1" applyBorder="1"/>
    <xf numFmtId="0" fontId="1" fillId="14" borderId="5" xfId="0" applyFont="1" applyFill="1" applyBorder="1" applyAlignment="1">
      <alignment horizontal="center"/>
    </xf>
    <xf numFmtId="14" fontId="0" fillId="0" borderId="0" xfId="0" applyNumberFormat="1" applyFont="1"/>
    <xf numFmtId="14" fontId="6" fillId="9" borderId="2" xfId="0" applyNumberFormat="1" applyFont="1" applyFill="1" applyBorder="1" applyAlignment="1">
      <alignment horizontal="center"/>
    </xf>
    <xf numFmtId="14" fontId="6" fillId="12" borderId="2" xfId="0" applyNumberFormat="1" applyFont="1" applyFill="1" applyBorder="1" applyAlignment="1">
      <alignment horizontal="center"/>
    </xf>
    <xf numFmtId="14" fontId="1" fillId="0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14" fontId="6" fillId="14" borderId="2" xfId="0" applyNumberFormat="1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2" fillId="0" borderId="0" xfId="0" applyFont="1" applyBorder="1"/>
    <xf numFmtId="0" fontId="0" fillId="0" borderId="0" xfId="0" applyFont="1" applyBorder="1"/>
    <xf numFmtId="0" fontId="0" fillId="8" borderId="2" xfId="0" applyFont="1" applyFill="1" applyBorder="1"/>
    <xf numFmtId="0" fontId="1" fillId="14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14" fontId="6" fillId="12" borderId="2" xfId="0" applyNumberFormat="1" applyFont="1" applyFill="1" applyBorder="1"/>
    <xf numFmtId="0" fontId="5" fillId="8" borderId="5" xfId="0" applyFont="1" applyFill="1" applyBorder="1" applyAlignment="1">
      <alignment horizontal="center"/>
    </xf>
    <xf numFmtId="0" fontId="5" fillId="8" borderId="9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1" fillId="12" borderId="7" xfId="0" applyFont="1" applyFill="1" applyBorder="1" applyAlignment="1">
      <alignment horizontal="center" vertical="center" wrapText="1"/>
    </xf>
    <xf numFmtId="0" fontId="1" fillId="12" borderId="8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/>
    </xf>
    <xf numFmtId="2" fontId="6" fillId="11" borderId="2" xfId="0" applyNumberFormat="1" applyFont="1" applyFill="1" applyBorder="1" applyAlignment="1">
      <alignment horizontal="center" vertical="center"/>
    </xf>
    <xf numFmtId="2" fontId="6" fillId="5" borderId="2" xfId="0" applyNumberFormat="1" applyFont="1" applyFill="1" applyBorder="1" applyAlignment="1">
      <alignment horizontal="center" vertical="center"/>
    </xf>
    <xf numFmtId="2" fontId="6" fillId="10" borderId="2" xfId="0" applyNumberFormat="1" applyFont="1" applyFill="1" applyBorder="1" applyAlignment="1">
      <alignment horizontal="center" vertical="center"/>
    </xf>
    <xf numFmtId="2" fontId="6" fillId="9" borderId="2" xfId="0" applyNumberFormat="1" applyFont="1" applyFill="1" applyBorder="1" applyAlignment="1">
      <alignment horizontal="center" vertical="center"/>
    </xf>
    <xf numFmtId="2" fontId="6" fillId="12" borderId="2" xfId="0" applyNumberFormat="1" applyFont="1" applyFill="1" applyBorder="1" applyAlignment="1">
      <alignment horizontal="center" vertical="center"/>
    </xf>
    <xf numFmtId="2" fontId="6" fillId="3" borderId="2" xfId="0" applyNumberFormat="1" applyFont="1" applyFill="1" applyBorder="1" applyAlignment="1">
      <alignment horizontal="center" vertical="center"/>
    </xf>
    <xf numFmtId="2" fontId="6" fillId="14" borderId="2" xfId="0" applyNumberFormat="1" applyFont="1" applyFill="1" applyBorder="1" applyAlignment="1">
      <alignment horizontal="center" vertical="center"/>
    </xf>
    <xf numFmtId="2" fontId="1" fillId="10" borderId="2" xfId="0" applyNumberFormat="1" applyFont="1" applyFill="1" applyBorder="1" applyAlignment="1">
      <alignment horizontal="center"/>
    </xf>
    <xf numFmtId="2" fontId="1" fillId="9" borderId="2" xfId="0" applyNumberFormat="1" applyFont="1" applyFill="1" applyBorder="1" applyAlignment="1">
      <alignment horizontal="center"/>
    </xf>
    <xf numFmtId="2" fontId="1" fillId="12" borderId="2" xfId="0" applyNumberFormat="1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2" fontId="1" fillId="14" borderId="2" xfId="0" applyNumberFormat="1" applyFont="1" applyFill="1" applyBorder="1" applyAlignment="1">
      <alignment horizontal="center"/>
    </xf>
    <xf numFmtId="2" fontId="6" fillId="8" borderId="2" xfId="0" applyNumberFormat="1" applyFont="1" applyFill="1" applyBorder="1" applyAlignment="1">
      <alignment horizontal="center" vertical="center"/>
    </xf>
    <xf numFmtId="2" fontId="1" fillId="8" borderId="2" xfId="0" applyNumberFormat="1" applyFont="1" applyFill="1" applyBorder="1"/>
    <xf numFmtId="2" fontId="0" fillId="8" borderId="2" xfId="0" applyNumberFormat="1" applyFont="1" applyFill="1" applyBorder="1"/>
    <xf numFmtId="14" fontId="6" fillId="11" borderId="5" xfId="0" applyNumberFormat="1" applyFont="1" applyFill="1" applyBorder="1" applyAlignment="1">
      <alignment horizontal="center" vertical="center"/>
    </xf>
    <xf numFmtId="14" fontId="6" fillId="5" borderId="5" xfId="0" applyNumberFormat="1" applyFont="1" applyFill="1" applyBorder="1" applyAlignment="1">
      <alignment horizontal="center" vertical="center"/>
    </xf>
    <xf numFmtId="14" fontId="6" fillId="10" borderId="5" xfId="0" applyNumberFormat="1" applyFont="1" applyFill="1" applyBorder="1" applyAlignment="1">
      <alignment horizontal="center" vertical="center"/>
    </xf>
    <xf numFmtId="14" fontId="6" fillId="9" borderId="5" xfId="0" applyNumberFormat="1" applyFont="1" applyFill="1" applyBorder="1" applyAlignment="1">
      <alignment horizontal="center" vertical="center"/>
    </xf>
    <xf numFmtId="14" fontId="6" fillId="12" borderId="5" xfId="0" applyNumberFormat="1" applyFont="1" applyFill="1" applyBorder="1" applyAlignment="1">
      <alignment horizontal="center" vertical="center"/>
    </xf>
    <xf numFmtId="14" fontId="6" fillId="3" borderId="5" xfId="0" applyNumberFormat="1" applyFont="1" applyFill="1" applyBorder="1" applyAlignment="1">
      <alignment horizontal="center" vertical="center"/>
    </xf>
    <xf numFmtId="14" fontId="1" fillId="14" borderId="5" xfId="0" applyNumberFormat="1" applyFont="1" applyFill="1" applyBorder="1"/>
    <xf numFmtId="0" fontId="1" fillId="3" borderId="6" xfId="0" applyFont="1" applyFill="1" applyBorder="1"/>
    <xf numFmtId="0" fontId="0" fillId="14" borderId="6" xfId="0" applyFont="1" applyFill="1" applyBorder="1"/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DCE6F1"/>
      <color rgb="FFFFFF99"/>
      <color rgb="FFFFCCCC"/>
      <color rgb="FFFF66FF"/>
      <color rgb="FF33CC33"/>
      <color rgb="FFED1FC6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O27"/>
  <sheetViews>
    <sheetView tabSelected="1" zoomScale="64" zoomScaleNormal="64" workbookViewId="0">
      <pane xSplit="10" ySplit="5" topLeftCell="K6" activePane="bottomRight" state="frozen"/>
      <selection pane="topRight" activeCell="N1" sqref="N1"/>
      <selection pane="bottomLeft" activeCell="A7" sqref="A7"/>
      <selection pane="bottomRight" activeCell="G38" sqref="G38"/>
    </sheetView>
  </sheetViews>
  <sheetFormatPr baseColWidth="10" defaultColWidth="11.42578125" defaultRowHeight="15" x14ac:dyDescent="0.25"/>
  <cols>
    <col min="1" max="1" width="13" style="3" customWidth="1"/>
    <col min="2" max="2" width="9.5703125" style="3" customWidth="1"/>
    <col min="3" max="3" width="14" style="3" customWidth="1"/>
    <col min="4" max="4" width="17.28515625" style="3" customWidth="1"/>
    <col min="5" max="5" width="24.42578125" style="3" customWidth="1"/>
    <col min="6" max="6" width="16.5703125" style="3" customWidth="1"/>
    <col min="7" max="7" width="16.42578125" style="3" customWidth="1"/>
    <col min="8" max="8" width="11.42578125" style="3"/>
    <col min="9" max="9" width="15.5703125" style="3" customWidth="1"/>
    <col min="10" max="10" width="10.85546875" style="3" customWidth="1"/>
    <col min="11" max="11" width="14.28515625" style="3" customWidth="1"/>
    <col min="12" max="12" width="15.85546875" style="3" bestFit="1" customWidth="1"/>
    <col min="13" max="13" width="18.28515625" style="3" bestFit="1" customWidth="1"/>
    <col min="14" max="14" width="20.7109375" style="3" customWidth="1"/>
    <col min="15" max="15" width="18.42578125" style="3" customWidth="1"/>
    <col min="16" max="16" width="18.7109375" style="3" bestFit="1" customWidth="1"/>
    <col min="17" max="17" width="6" style="3" customWidth="1"/>
    <col min="18" max="18" width="15.85546875" style="3" bestFit="1" customWidth="1"/>
    <col min="19" max="19" width="18.140625" style="3" bestFit="1" customWidth="1"/>
    <col min="20" max="20" width="19.42578125" style="3" customWidth="1"/>
    <col min="21" max="22" width="17.5703125" style="3" customWidth="1"/>
    <col min="23" max="23" width="15.28515625" style="3" customWidth="1"/>
    <col min="24" max="24" width="18.140625" style="3" bestFit="1" customWidth="1"/>
    <col min="25" max="25" width="22.5703125" style="3" customWidth="1"/>
    <col min="26" max="27" width="11.42578125" style="3"/>
    <col min="28" max="28" width="15.28515625" style="3" customWidth="1"/>
    <col min="29" max="29" width="18.140625" style="3" bestFit="1" customWidth="1"/>
    <col min="30" max="30" width="22.5703125" style="3" customWidth="1"/>
    <col min="31" max="32" width="11.42578125" style="3"/>
    <col min="33" max="33" width="15.28515625" style="3" customWidth="1"/>
    <col min="34" max="34" width="18.140625" style="3" bestFit="1" customWidth="1"/>
    <col min="35" max="35" width="22.5703125" style="3" customWidth="1"/>
    <col min="36" max="37" width="11.42578125" style="3"/>
    <col min="38" max="38" width="16" style="46" bestFit="1" customWidth="1"/>
    <col min="39" max="222" width="11.42578125" style="46"/>
    <col min="223" max="16384" width="11.42578125" style="3"/>
  </cols>
  <sheetData>
    <row r="1" spans="1:223" ht="15.75" x14ac:dyDescent="0.25">
      <c r="A1" s="162" t="s">
        <v>125</v>
      </c>
      <c r="B1" s="162"/>
      <c r="C1" s="162"/>
      <c r="D1" s="162"/>
      <c r="E1" s="162"/>
      <c r="L1" s="99"/>
      <c r="M1" s="100"/>
      <c r="N1" s="100"/>
      <c r="O1" s="100"/>
    </row>
    <row r="2" spans="1:223" ht="15.75" x14ac:dyDescent="0.25">
      <c r="A2" s="162" t="s">
        <v>28</v>
      </c>
      <c r="B2" s="162"/>
      <c r="C2" s="162"/>
      <c r="D2" s="162"/>
      <c r="E2" s="162"/>
    </row>
    <row r="3" spans="1:223" x14ac:dyDescent="0.25">
      <c r="L3" s="111" t="s">
        <v>20</v>
      </c>
      <c r="M3" s="112"/>
      <c r="N3" s="112"/>
      <c r="O3" s="112"/>
      <c r="P3" s="112"/>
      <c r="Q3" s="77"/>
      <c r="R3" s="119" t="s">
        <v>24</v>
      </c>
      <c r="S3" s="120"/>
      <c r="T3" s="120"/>
      <c r="U3" s="120"/>
      <c r="V3" s="121"/>
      <c r="W3" s="122" t="s">
        <v>26</v>
      </c>
      <c r="X3" s="123"/>
      <c r="Y3" s="123"/>
      <c r="Z3" s="123"/>
      <c r="AA3" s="124"/>
      <c r="AB3" s="113" t="s">
        <v>27</v>
      </c>
      <c r="AC3" s="114"/>
      <c r="AD3" s="114"/>
      <c r="AE3" s="114"/>
      <c r="AF3" s="115"/>
      <c r="AG3" s="116" t="s">
        <v>25</v>
      </c>
      <c r="AH3" s="117"/>
      <c r="AI3" s="117"/>
      <c r="AJ3" s="117"/>
      <c r="AK3" s="118"/>
    </row>
    <row r="4" spans="1:223" ht="15" customHeight="1" x14ac:dyDescent="0.25">
      <c r="B4" s="108" t="s">
        <v>0</v>
      </c>
      <c r="C4" s="108" t="s">
        <v>1</v>
      </c>
      <c r="D4" s="108" t="s">
        <v>22</v>
      </c>
      <c r="E4" s="108" t="s">
        <v>8</v>
      </c>
      <c r="F4" s="108" t="s">
        <v>3</v>
      </c>
      <c r="G4" s="109" t="s">
        <v>23</v>
      </c>
      <c r="H4" s="108" t="s">
        <v>2</v>
      </c>
      <c r="I4" s="108" t="s">
        <v>21</v>
      </c>
      <c r="J4" s="109" t="s">
        <v>4</v>
      </c>
      <c r="K4" s="109" t="s">
        <v>7</v>
      </c>
      <c r="L4" s="7"/>
      <c r="M4" s="7"/>
      <c r="N4" s="106"/>
      <c r="O4" s="107"/>
      <c r="P4" s="107"/>
      <c r="Q4" s="77"/>
      <c r="R4" s="8"/>
      <c r="S4" s="8"/>
      <c r="T4" s="10"/>
      <c r="U4" s="11"/>
      <c r="V4" s="11"/>
      <c r="W4" s="9"/>
      <c r="X4" s="9"/>
      <c r="Y4" s="10"/>
      <c r="Z4" s="11"/>
      <c r="AA4" s="11"/>
      <c r="AB4" s="26"/>
      <c r="AC4" s="26"/>
      <c r="AD4" s="26"/>
      <c r="AE4" s="27"/>
      <c r="AF4" s="27"/>
      <c r="AG4" s="28"/>
      <c r="AH4" s="28"/>
      <c r="AI4" s="28"/>
      <c r="AJ4" s="29"/>
      <c r="AK4" s="29"/>
    </row>
    <row r="5" spans="1:223" ht="26.25" x14ac:dyDescent="0.25">
      <c r="A5" s="5"/>
      <c r="B5" s="108"/>
      <c r="C5" s="108"/>
      <c r="D5" s="108"/>
      <c r="E5" s="108"/>
      <c r="F5" s="108"/>
      <c r="G5" s="110"/>
      <c r="H5" s="108"/>
      <c r="I5" s="108"/>
      <c r="J5" s="110"/>
      <c r="K5" s="110"/>
      <c r="L5" s="4" t="s">
        <v>15</v>
      </c>
      <c r="M5" s="4" t="s">
        <v>16</v>
      </c>
      <c r="N5" s="6" t="s">
        <v>17</v>
      </c>
      <c r="O5" s="6" t="s">
        <v>11</v>
      </c>
      <c r="P5" s="37" t="s">
        <v>12</v>
      </c>
      <c r="Q5" s="78"/>
      <c r="R5" s="4" t="s">
        <v>15</v>
      </c>
      <c r="S5" s="4" t="s">
        <v>16</v>
      </c>
      <c r="T5" s="6" t="s">
        <v>17</v>
      </c>
      <c r="U5" s="6" t="s">
        <v>11</v>
      </c>
      <c r="V5" s="6" t="s">
        <v>12</v>
      </c>
      <c r="W5" s="4" t="s">
        <v>15</v>
      </c>
      <c r="X5" s="4" t="s">
        <v>16</v>
      </c>
      <c r="Y5" s="6" t="s">
        <v>17</v>
      </c>
      <c r="Z5" s="6" t="s">
        <v>11</v>
      </c>
      <c r="AA5" s="6" t="s">
        <v>12</v>
      </c>
      <c r="AB5" s="4" t="s">
        <v>15</v>
      </c>
      <c r="AC5" s="4" t="s">
        <v>16</v>
      </c>
      <c r="AD5" s="6" t="s">
        <v>17</v>
      </c>
      <c r="AE5" s="6" t="s">
        <v>11</v>
      </c>
      <c r="AF5" s="6" t="s">
        <v>12</v>
      </c>
      <c r="AG5" s="4" t="s">
        <v>15</v>
      </c>
      <c r="AH5" s="4" t="s">
        <v>16</v>
      </c>
      <c r="AI5" s="6" t="s">
        <v>17</v>
      </c>
      <c r="AJ5" s="6" t="s">
        <v>11</v>
      </c>
      <c r="AK5" s="37" t="s">
        <v>12</v>
      </c>
      <c r="AL5" s="6" t="s">
        <v>7</v>
      </c>
    </row>
    <row r="6" spans="1:223" s="33" customFormat="1" x14ac:dyDescent="0.25">
      <c r="A6" s="130" t="s">
        <v>34</v>
      </c>
      <c r="B6" s="30">
        <v>5</v>
      </c>
      <c r="C6" s="31">
        <v>1</v>
      </c>
      <c r="D6" s="31" t="s">
        <v>29</v>
      </c>
      <c r="E6" s="31" t="s">
        <v>19</v>
      </c>
      <c r="F6" s="32">
        <v>43809</v>
      </c>
      <c r="G6" s="32" t="s">
        <v>126</v>
      </c>
      <c r="H6" s="31" t="s">
        <v>10</v>
      </c>
      <c r="I6" s="32">
        <v>43847</v>
      </c>
      <c r="J6" s="138">
        <f>(I6-F6)/30</f>
        <v>1.2666666666666666</v>
      </c>
      <c r="K6" s="32">
        <v>43920</v>
      </c>
      <c r="L6" s="32">
        <v>43847</v>
      </c>
      <c r="M6" s="138">
        <f t="shared" ref="M6:M25" si="0">(L6-F6)/30</f>
        <v>1.2666666666666666</v>
      </c>
      <c r="N6" s="31" t="s">
        <v>130</v>
      </c>
      <c r="O6" s="31">
        <v>0.13320000000000001</v>
      </c>
      <c r="P6" s="38">
        <v>45.6</v>
      </c>
      <c r="Q6" s="79"/>
      <c r="R6" s="32">
        <v>43861</v>
      </c>
      <c r="S6" s="138">
        <f t="shared" ref="S6:S25" si="1">(R6-F6)/30</f>
        <v>1.7333333333333334</v>
      </c>
      <c r="T6" s="31" t="s">
        <v>53</v>
      </c>
      <c r="U6" s="31">
        <v>0.2828</v>
      </c>
      <c r="V6" s="31">
        <v>67.900000000000006</v>
      </c>
      <c r="W6" s="32">
        <v>43875</v>
      </c>
      <c r="X6" s="138">
        <f t="shared" ref="X6:X25" si="2">(W6-F6)/30</f>
        <v>2.2000000000000002</v>
      </c>
      <c r="Y6" s="31" t="s">
        <v>80</v>
      </c>
      <c r="Z6" s="31">
        <v>0.12520000000000001</v>
      </c>
      <c r="AA6" s="31">
        <v>147</v>
      </c>
      <c r="AB6" s="32">
        <v>43889</v>
      </c>
      <c r="AC6" s="138">
        <f>(AB6-F6)/30</f>
        <v>2.6666666666666665</v>
      </c>
      <c r="AD6" s="31" t="s">
        <v>94</v>
      </c>
      <c r="AE6" s="31">
        <v>0.153</v>
      </c>
      <c r="AF6" s="31">
        <v>250.2</v>
      </c>
      <c r="AG6" s="32">
        <v>43903</v>
      </c>
      <c r="AH6" s="138">
        <f t="shared" ref="AH6:AH15" si="3">(AG6-F6)/30</f>
        <v>3.1333333333333333</v>
      </c>
      <c r="AI6" s="31" t="s">
        <v>114</v>
      </c>
      <c r="AJ6" s="31">
        <v>0.2009</v>
      </c>
      <c r="AK6" s="38">
        <v>102.8</v>
      </c>
      <c r="AL6" s="153">
        <v>43920</v>
      </c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</row>
    <row r="7" spans="1:223" s="33" customFormat="1" x14ac:dyDescent="0.25">
      <c r="A7" s="131"/>
      <c r="B7" s="137">
        <v>6</v>
      </c>
      <c r="C7" s="34">
        <v>2</v>
      </c>
      <c r="D7" s="34" t="s">
        <v>30</v>
      </c>
      <c r="E7" s="34" t="s">
        <v>19</v>
      </c>
      <c r="F7" s="32">
        <v>43809</v>
      </c>
      <c r="G7" s="32" t="s">
        <v>127</v>
      </c>
      <c r="H7" s="31" t="s">
        <v>10</v>
      </c>
      <c r="I7" s="32">
        <v>43847</v>
      </c>
      <c r="J7" s="138">
        <f t="shared" ref="J7:J10" si="4">(I7-F7)/30</f>
        <v>1.2666666666666666</v>
      </c>
      <c r="K7" s="32">
        <v>43903</v>
      </c>
      <c r="L7" s="32">
        <v>43847</v>
      </c>
      <c r="M7" s="138">
        <f t="shared" si="0"/>
        <v>1.2666666666666666</v>
      </c>
      <c r="N7" s="31" t="s">
        <v>131</v>
      </c>
      <c r="O7" s="34">
        <v>0.14710000000000001</v>
      </c>
      <c r="P7" s="39">
        <v>100.7</v>
      </c>
      <c r="Q7" s="80"/>
      <c r="R7" s="32">
        <v>43861</v>
      </c>
      <c r="S7" s="138">
        <f t="shared" si="1"/>
        <v>1.7333333333333334</v>
      </c>
      <c r="T7" s="31" t="s">
        <v>137</v>
      </c>
      <c r="U7" s="34">
        <v>0.2268</v>
      </c>
      <c r="V7" s="34">
        <v>75.400000000000006</v>
      </c>
      <c r="W7" s="32">
        <v>43875</v>
      </c>
      <c r="X7" s="138">
        <f t="shared" si="2"/>
        <v>2.2000000000000002</v>
      </c>
      <c r="Y7" s="31" t="s">
        <v>81</v>
      </c>
      <c r="Z7" s="34">
        <v>0.1007</v>
      </c>
      <c r="AA7" s="34">
        <v>68</v>
      </c>
      <c r="AB7" s="32">
        <v>43889</v>
      </c>
      <c r="AC7" s="138">
        <f>(AB7-F7)/30</f>
        <v>2.6666666666666665</v>
      </c>
      <c r="AD7" s="31" t="s">
        <v>95</v>
      </c>
      <c r="AE7" s="34">
        <v>0.1145</v>
      </c>
      <c r="AF7" s="34">
        <v>33.5</v>
      </c>
      <c r="AG7" s="32">
        <v>43903</v>
      </c>
      <c r="AH7" s="138">
        <f t="shared" si="3"/>
        <v>3.1333333333333333</v>
      </c>
      <c r="AI7" s="31" t="s">
        <v>115</v>
      </c>
      <c r="AJ7" s="34">
        <v>0.1104</v>
      </c>
      <c r="AK7" s="39">
        <v>266.58999999999997</v>
      </c>
      <c r="AL7" s="153">
        <v>43903</v>
      </c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</row>
    <row r="8" spans="1:223" s="35" customFormat="1" x14ac:dyDescent="0.25">
      <c r="A8" s="131"/>
      <c r="B8" s="30">
        <v>7</v>
      </c>
      <c r="C8" s="31">
        <v>3</v>
      </c>
      <c r="D8" s="34" t="s">
        <v>31</v>
      </c>
      <c r="E8" s="34" t="s">
        <v>19</v>
      </c>
      <c r="F8" s="32">
        <v>43809</v>
      </c>
      <c r="G8" s="32" t="s">
        <v>127</v>
      </c>
      <c r="H8" s="31" t="s">
        <v>10</v>
      </c>
      <c r="I8" s="32">
        <v>43847</v>
      </c>
      <c r="J8" s="138">
        <f t="shared" si="4"/>
        <v>1.2666666666666666</v>
      </c>
      <c r="K8" s="32"/>
      <c r="L8" s="32">
        <v>43847</v>
      </c>
      <c r="M8" s="138">
        <f t="shared" si="0"/>
        <v>1.2666666666666666</v>
      </c>
      <c r="N8" s="31" t="s">
        <v>132</v>
      </c>
      <c r="O8" s="31">
        <v>0.14630000000000001</v>
      </c>
      <c r="P8" s="38">
        <v>62.2</v>
      </c>
      <c r="Q8" s="79"/>
      <c r="R8" s="32">
        <v>43861</v>
      </c>
      <c r="S8" s="138">
        <f t="shared" si="1"/>
        <v>1.7333333333333334</v>
      </c>
      <c r="T8" s="31" t="s">
        <v>138</v>
      </c>
      <c r="U8" s="31">
        <v>0.15129999999999999</v>
      </c>
      <c r="V8" s="31">
        <v>57.4</v>
      </c>
      <c r="W8" s="32">
        <v>43875</v>
      </c>
      <c r="X8" s="138">
        <f t="shared" si="2"/>
        <v>2.2000000000000002</v>
      </c>
      <c r="Y8" s="31" t="s">
        <v>92</v>
      </c>
      <c r="Z8" s="31">
        <v>0.1041</v>
      </c>
      <c r="AA8" s="31">
        <v>92.9</v>
      </c>
      <c r="AB8" s="32">
        <v>43889</v>
      </c>
      <c r="AC8" s="138">
        <f>(AB8-F8)/30</f>
        <v>2.6666666666666665</v>
      </c>
      <c r="AD8" s="31" t="s">
        <v>96</v>
      </c>
      <c r="AE8" s="31">
        <v>0.1978</v>
      </c>
      <c r="AF8" s="31">
        <v>167.9</v>
      </c>
      <c r="AG8" s="32">
        <v>43903</v>
      </c>
      <c r="AH8" s="138">
        <f t="shared" si="3"/>
        <v>3.1333333333333333</v>
      </c>
      <c r="AI8" s="31" t="s">
        <v>146</v>
      </c>
      <c r="AJ8" s="31">
        <v>0.28799999999999998</v>
      </c>
      <c r="AK8" s="38">
        <v>58.78</v>
      </c>
      <c r="AL8" s="153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2"/>
    </row>
    <row r="9" spans="1:223" s="35" customFormat="1" x14ac:dyDescent="0.25">
      <c r="A9" s="131"/>
      <c r="B9" s="30">
        <v>8</v>
      </c>
      <c r="C9" s="31">
        <v>7</v>
      </c>
      <c r="D9" s="34" t="s">
        <v>32</v>
      </c>
      <c r="E9" s="34" t="s">
        <v>19</v>
      </c>
      <c r="F9" s="32">
        <v>43809</v>
      </c>
      <c r="G9" s="32" t="s">
        <v>127</v>
      </c>
      <c r="H9" s="31" t="s">
        <v>10</v>
      </c>
      <c r="I9" s="32">
        <v>43847</v>
      </c>
      <c r="J9" s="138">
        <f t="shared" si="4"/>
        <v>1.2666666666666666</v>
      </c>
      <c r="K9" s="32"/>
      <c r="L9" s="32">
        <v>43847</v>
      </c>
      <c r="M9" s="138">
        <f t="shared" si="0"/>
        <v>1.2666666666666666</v>
      </c>
      <c r="N9" s="31" t="s">
        <v>133</v>
      </c>
      <c r="O9" s="31">
        <v>0.1396</v>
      </c>
      <c r="P9" s="38">
        <v>58.4</v>
      </c>
      <c r="Q9" s="79"/>
      <c r="R9" s="32">
        <v>43861</v>
      </c>
      <c r="S9" s="138">
        <f t="shared" si="1"/>
        <v>1.7333333333333334</v>
      </c>
      <c r="T9" s="31" t="s">
        <v>139</v>
      </c>
      <c r="U9" s="31">
        <v>0.14749999999999999</v>
      </c>
      <c r="V9" s="31">
        <v>53.2</v>
      </c>
      <c r="W9" s="32">
        <v>43875</v>
      </c>
      <c r="X9" s="138">
        <f t="shared" si="2"/>
        <v>2.2000000000000002</v>
      </c>
      <c r="Y9" s="31" t="s">
        <v>142</v>
      </c>
      <c r="Z9" s="31">
        <v>9.8699999999999996E-2</v>
      </c>
      <c r="AA9" s="31">
        <v>209.2</v>
      </c>
      <c r="AB9" s="32">
        <v>43889</v>
      </c>
      <c r="AC9" s="138">
        <f>(AB9-F9)/30</f>
        <v>2.6666666666666665</v>
      </c>
      <c r="AD9" s="31" t="s">
        <v>97</v>
      </c>
      <c r="AE9" s="31">
        <v>0.1522</v>
      </c>
      <c r="AF9" s="31">
        <v>92.6</v>
      </c>
      <c r="AG9" s="32">
        <v>43903</v>
      </c>
      <c r="AH9" s="138">
        <f t="shared" si="3"/>
        <v>3.1333333333333333</v>
      </c>
      <c r="AI9" s="31" t="s">
        <v>116</v>
      </c>
      <c r="AJ9" s="31">
        <v>0.31169999999999998</v>
      </c>
      <c r="AK9" s="38">
        <v>140.05000000000001</v>
      </c>
      <c r="AL9" s="153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2"/>
    </row>
    <row r="10" spans="1:223" s="35" customFormat="1" x14ac:dyDescent="0.25">
      <c r="A10" s="131"/>
      <c r="B10" s="30">
        <v>10</v>
      </c>
      <c r="C10" s="31" t="s">
        <v>9</v>
      </c>
      <c r="D10" s="34" t="s">
        <v>33</v>
      </c>
      <c r="E10" s="34" t="s">
        <v>19</v>
      </c>
      <c r="F10" s="32">
        <v>43809</v>
      </c>
      <c r="G10" s="32" t="s">
        <v>127</v>
      </c>
      <c r="H10" s="31" t="s">
        <v>10</v>
      </c>
      <c r="I10" s="32">
        <v>43847</v>
      </c>
      <c r="J10" s="138">
        <f t="shared" si="4"/>
        <v>1.2666666666666666</v>
      </c>
      <c r="K10" s="32">
        <v>43879</v>
      </c>
      <c r="L10" s="32">
        <v>43847</v>
      </c>
      <c r="M10" s="138">
        <f t="shared" si="0"/>
        <v>1.2666666666666666</v>
      </c>
      <c r="N10" s="31" t="s">
        <v>42</v>
      </c>
      <c r="O10" s="31">
        <v>0.13830000000000001</v>
      </c>
      <c r="P10" s="38">
        <v>19.899999999999999</v>
      </c>
      <c r="Q10" s="79"/>
      <c r="R10" s="32">
        <v>43861</v>
      </c>
      <c r="S10" s="138">
        <f t="shared" si="1"/>
        <v>1.7333333333333334</v>
      </c>
      <c r="T10" s="31" t="s">
        <v>58</v>
      </c>
      <c r="U10" s="31">
        <v>0.1535</v>
      </c>
      <c r="V10" s="31">
        <v>59.4</v>
      </c>
      <c r="W10" s="32">
        <v>43875</v>
      </c>
      <c r="X10" s="138">
        <f t="shared" si="2"/>
        <v>2.2000000000000002</v>
      </c>
      <c r="Y10" s="31" t="s">
        <v>88</v>
      </c>
      <c r="Z10" s="31">
        <v>5.6300000000000003E-2</v>
      </c>
      <c r="AA10" s="31">
        <v>56</v>
      </c>
      <c r="AB10" s="68"/>
      <c r="AC10" s="150"/>
      <c r="AD10" s="24"/>
      <c r="AE10" s="24"/>
      <c r="AF10" s="24"/>
      <c r="AG10" s="68"/>
      <c r="AH10" s="150">
        <f t="shared" si="3"/>
        <v>-1460.3</v>
      </c>
      <c r="AI10" s="24"/>
      <c r="AJ10" s="24"/>
      <c r="AK10" s="67"/>
      <c r="AL10" s="153">
        <v>43879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2"/>
    </row>
    <row r="11" spans="1:223" s="36" customFormat="1" x14ac:dyDescent="0.25">
      <c r="A11" s="132" t="s">
        <v>41</v>
      </c>
      <c r="B11" s="12">
        <v>12</v>
      </c>
      <c r="C11" s="12">
        <v>1</v>
      </c>
      <c r="D11" s="12" t="s">
        <v>35</v>
      </c>
      <c r="E11" s="13" t="s">
        <v>39</v>
      </c>
      <c r="F11" s="15">
        <v>43823</v>
      </c>
      <c r="G11" s="15" t="s">
        <v>129</v>
      </c>
      <c r="H11" s="13" t="s">
        <v>10</v>
      </c>
      <c r="I11" s="14">
        <v>43861</v>
      </c>
      <c r="J11" s="139">
        <f t="shared" ref="J11" si="5">(I11-F11)/30</f>
        <v>1.2666666666666666</v>
      </c>
      <c r="K11" s="14"/>
      <c r="L11" s="14">
        <v>43861</v>
      </c>
      <c r="M11" s="139">
        <f t="shared" si="0"/>
        <v>1.2666666666666666</v>
      </c>
      <c r="N11" s="13" t="s">
        <v>43</v>
      </c>
      <c r="O11" s="12">
        <v>0.15679999999999999</v>
      </c>
      <c r="P11" s="75">
        <v>120.7</v>
      </c>
      <c r="Q11" s="81"/>
      <c r="R11" s="14">
        <v>43875</v>
      </c>
      <c r="S11" s="139">
        <f t="shared" si="1"/>
        <v>1.7333333333333334</v>
      </c>
      <c r="T11" s="13" t="s">
        <v>67</v>
      </c>
      <c r="U11" s="12">
        <v>0.18029999999999999</v>
      </c>
      <c r="V11" s="12">
        <v>134.1</v>
      </c>
      <c r="W11" s="14">
        <v>43889</v>
      </c>
      <c r="X11" s="139">
        <f t="shared" si="2"/>
        <v>2.2000000000000002</v>
      </c>
      <c r="Y11" s="13" t="s">
        <v>89</v>
      </c>
      <c r="Z11" s="16">
        <v>5.1200000000000002E-2</v>
      </c>
      <c r="AA11" s="16">
        <v>51</v>
      </c>
      <c r="AB11" s="14">
        <v>43903</v>
      </c>
      <c r="AC11" s="139">
        <f t="shared" ref="AC11:AC17" si="6">(AB11-F11)/30</f>
        <v>2.6666666666666665</v>
      </c>
      <c r="AD11" s="13" t="s">
        <v>98</v>
      </c>
      <c r="AE11" s="16">
        <v>0.2263</v>
      </c>
      <c r="AF11" s="16">
        <v>58.22</v>
      </c>
      <c r="AG11" s="14">
        <v>43917</v>
      </c>
      <c r="AH11" s="139">
        <f t="shared" si="3"/>
        <v>3.1333333333333333</v>
      </c>
      <c r="AI11" s="13" t="s">
        <v>117</v>
      </c>
      <c r="AJ11" s="16">
        <v>0.15440000000000001</v>
      </c>
      <c r="AK11" s="40">
        <v>82.9</v>
      </c>
      <c r="AL11" s="154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  <c r="DK11" s="46"/>
      <c r="DL11" s="46"/>
      <c r="DM11" s="46"/>
      <c r="DN11" s="46"/>
      <c r="DO11" s="46"/>
      <c r="DP11" s="46"/>
      <c r="DQ11" s="46"/>
      <c r="DR11" s="46"/>
      <c r="DS11" s="46"/>
      <c r="DT11" s="46"/>
      <c r="DU11" s="46"/>
      <c r="DV11" s="46"/>
      <c r="DW11" s="46"/>
      <c r="DX11" s="46"/>
      <c r="DY11" s="46"/>
      <c r="DZ11" s="46"/>
      <c r="EA11" s="46"/>
      <c r="EB11" s="46"/>
      <c r="EC11" s="46"/>
      <c r="ED11" s="46"/>
      <c r="EE11" s="46"/>
      <c r="EF11" s="46"/>
      <c r="EG11" s="46"/>
      <c r="EH11" s="46"/>
      <c r="EI11" s="46"/>
      <c r="EJ11" s="46"/>
      <c r="EK11" s="46"/>
      <c r="EL11" s="46"/>
      <c r="EM11" s="46"/>
      <c r="EN11" s="46"/>
      <c r="EO11" s="46"/>
      <c r="EP11" s="46"/>
      <c r="EQ11" s="46"/>
      <c r="ER11" s="46"/>
      <c r="ES11" s="46"/>
      <c r="ET11" s="46"/>
      <c r="EU11" s="46"/>
      <c r="EV11" s="46"/>
      <c r="EW11" s="46"/>
      <c r="EX11" s="46"/>
      <c r="EY11" s="46"/>
      <c r="EZ11" s="46"/>
      <c r="FA11" s="46"/>
      <c r="FB11" s="46"/>
      <c r="FC11" s="46"/>
      <c r="FD11" s="46"/>
      <c r="FE11" s="46"/>
      <c r="FF11" s="46"/>
      <c r="FG11" s="46"/>
      <c r="FH11" s="46"/>
      <c r="FI11" s="46"/>
      <c r="FJ11" s="46"/>
      <c r="FK11" s="46"/>
      <c r="FL11" s="46"/>
      <c r="FM11" s="46"/>
      <c r="FN11" s="46"/>
      <c r="FO11" s="46"/>
      <c r="FP11" s="46"/>
      <c r="FQ11" s="46"/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  <c r="HE11" s="46"/>
      <c r="HF11" s="46"/>
      <c r="HG11" s="46"/>
      <c r="HH11" s="46"/>
      <c r="HI11" s="46"/>
      <c r="HJ11" s="46"/>
      <c r="HK11" s="46"/>
      <c r="HL11" s="46"/>
      <c r="HM11" s="46"/>
      <c r="HN11" s="46"/>
      <c r="HO11" s="43"/>
    </row>
    <row r="12" spans="1:223" s="16" customFormat="1" x14ac:dyDescent="0.25">
      <c r="A12" s="133"/>
      <c r="B12" s="12">
        <v>13</v>
      </c>
      <c r="C12" s="12">
        <v>2</v>
      </c>
      <c r="D12" s="12" t="s">
        <v>36</v>
      </c>
      <c r="E12" s="13" t="s">
        <v>39</v>
      </c>
      <c r="F12" s="15">
        <v>43823</v>
      </c>
      <c r="G12" s="15" t="s">
        <v>128</v>
      </c>
      <c r="H12" s="13" t="s">
        <v>10</v>
      </c>
      <c r="I12" s="14">
        <v>43861</v>
      </c>
      <c r="J12" s="139">
        <f t="shared" ref="J12:J14" si="7">(I12-F12)/30</f>
        <v>1.2666666666666666</v>
      </c>
      <c r="K12" s="14"/>
      <c r="L12" s="14">
        <v>43861</v>
      </c>
      <c r="M12" s="139">
        <f t="shared" si="0"/>
        <v>1.2666666666666666</v>
      </c>
      <c r="N12" s="13" t="s">
        <v>44</v>
      </c>
      <c r="O12" s="16">
        <v>0.1895</v>
      </c>
      <c r="P12" s="40">
        <v>103.3</v>
      </c>
      <c r="Q12" s="82"/>
      <c r="R12" s="14">
        <v>43875</v>
      </c>
      <c r="S12" s="139">
        <f t="shared" si="1"/>
        <v>1.7333333333333334</v>
      </c>
      <c r="T12" s="13" t="s">
        <v>68</v>
      </c>
      <c r="U12" s="16">
        <v>0.1497</v>
      </c>
      <c r="V12" s="16">
        <v>101.7</v>
      </c>
      <c r="W12" s="14">
        <v>43889</v>
      </c>
      <c r="X12" s="139">
        <f t="shared" si="2"/>
        <v>2.2000000000000002</v>
      </c>
      <c r="Y12" s="13" t="s">
        <v>90</v>
      </c>
      <c r="Z12" s="16">
        <v>8.43E-2</v>
      </c>
      <c r="AA12" s="16">
        <v>57.3</v>
      </c>
      <c r="AB12" s="14">
        <v>43903</v>
      </c>
      <c r="AC12" s="139">
        <f t="shared" si="6"/>
        <v>2.6666666666666665</v>
      </c>
      <c r="AD12" s="13" t="s">
        <v>107</v>
      </c>
      <c r="AE12" s="16">
        <v>0.19359999999999999</v>
      </c>
      <c r="AF12" s="16">
        <v>68.930000000000007</v>
      </c>
      <c r="AG12" s="14">
        <v>43917</v>
      </c>
      <c r="AH12" s="139">
        <f t="shared" si="3"/>
        <v>3.1333333333333333</v>
      </c>
      <c r="AI12" s="13" t="s">
        <v>118</v>
      </c>
      <c r="AJ12" s="16">
        <v>0.28510000000000002</v>
      </c>
      <c r="AK12" s="40">
        <v>191</v>
      </c>
      <c r="AL12" s="154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4"/>
    </row>
    <row r="13" spans="1:223" s="16" customFormat="1" x14ac:dyDescent="0.25">
      <c r="A13" s="133"/>
      <c r="B13" s="12">
        <v>14</v>
      </c>
      <c r="C13" s="13">
        <v>3</v>
      </c>
      <c r="D13" s="12" t="s">
        <v>37</v>
      </c>
      <c r="E13" s="13" t="s">
        <v>39</v>
      </c>
      <c r="F13" s="15">
        <v>43823</v>
      </c>
      <c r="G13" s="15" t="s">
        <v>128</v>
      </c>
      <c r="H13" s="13" t="s">
        <v>10</v>
      </c>
      <c r="I13" s="14">
        <v>43861</v>
      </c>
      <c r="J13" s="139">
        <f t="shared" si="7"/>
        <v>1.2666666666666666</v>
      </c>
      <c r="K13" s="14"/>
      <c r="L13" s="14">
        <v>43861</v>
      </c>
      <c r="M13" s="139">
        <f t="shared" si="0"/>
        <v>1.2666666666666666</v>
      </c>
      <c r="N13" s="13" t="s">
        <v>45</v>
      </c>
      <c r="O13" s="16">
        <v>0.1794</v>
      </c>
      <c r="P13" s="40">
        <v>92.2</v>
      </c>
      <c r="Q13" s="82"/>
      <c r="R13" s="14">
        <v>43875</v>
      </c>
      <c r="S13" s="139">
        <f t="shared" si="1"/>
        <v>1.7333333333333334</v>
      </c>
      <c r="T13" s="13" t="s">
        <v>140</v>
      </c>
      <c r="U13" s="16">
        <v>0.18110000000000001</v>
      </c>
      <c r="V13" s="16">
        <v>64.400000000000006</v>
      </c>
      <c r="W13" s="14">
        <v>43889</v>
      </c>
      <c r="X13" s="139">
        <f t="shared" si="2"/>
        <v>2.2000000000000002</v>
      </c>
      <c r="Y13" s="13" t="s">
        <v>143</v>
      </c>
      <c r="Z13" s="16">
        <v>5.0999999999999997E-2</v>
      </c>
      <c r="AA13" s="16">
        <v>58.3</v>
      </c>
      <c r="AB13" s="14">
        <v>43903</v>
      </c>
      <c r="AC13" s="139">
        <f t="shared" si="6"/>
        <v>2.6666666666666665</v>
      </c>
      <c r="AD13" s="13" t="s">
        <v>108</v>
      </c>
      <c r="AE13" s="16">
        <v>0.13289999999999999</v>
      </c>
      <c r="AF13" s="16">
        <v>129.28</v>
      </c>
      <c r="AG13" s="14">
        <v>43917</v>
      </c>
      <c r="AH13" s="139">
        <f t="shared" si="3"/>
        <v>3.1333333333333333</v>
      </c>
      <c r="AI13" s="13" t="s">
        <v>119</v>
      </c>
      <c r="AJ13" s="16">
        <v>0.12239999999999999</v>
      </c>
      <c r="AK13" s="40">
        <v>82.3</v>
      </c>
      <c r="AL13" s="154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4"/>
    </row>
    <row r="14" spans="1:223" s="16" customFormat="1" x14ac:dyDescent="0.25">
      <c r="A14" s="133"/>
      <c r="B14" s="12">
        <v>15</v>
      </c>
      <c r="C14" s="13" t="s">
        <v>5</v>
      </c>
      <c r="D14" s="12" t="s">
        <v>38</v>
      </c>
      <c r="E14" s="13" t="s">
        <v>39</v>
      </c>
      <c r="F14" s="15">
        <v>43823</v>
      </c>
      <c r="G14" s="15" t="s">
        <v>128</v>
      </c>
      <c r="H14" s="13" t="s">
        <v>10</v>
      </c>
      <c r="I14" s="14">
        <v>43861</v>
      </c>
      <c r="J14" s="139">
        <f t="shared" si="7"/>
        <v>1.2666666666666666</v>
      </c>
      <c r="K14" s="14"/>
      <c r="L14" s="14">
        <v>43861</v>
      </c>
      <c r="M14" s="139">
        <f t="shared" si="0"/>
        <v>1.2666666666666666</v>
      </c>
      <c r="N14" s="13" t="s">
        <v>134</v>
      </c>
      <c r="O14" s="16">
        <v>0.15049999999999999</v>
      </c>
      <c r="P14" s="40">
        <v>61.3</v>
      </c>
      <c r="Q14" s="82"/>
      <c r="R14" s="14">
        <v>43875</v>
      </c>
      <c r="S14" s="139">
        <f t="shared" si="1"/>
        <v>1.7333333333333334</v>
      </c>
      <c r="T14" s="13" t="s">
        <v>69</v>
      </c>
      <c r="U14" s="16">
        <v>0.18099999999999999</v>
      </c>
      <c r="V14" s="16">
        <v>71.5</v>
      </c>
      <c r="W14" s="14">
        <v>43889</v>
      </c>
      <c r="X14" s="139">
        <f t="shared" si="2"/>
        <v>2.2000000000000002</v>
      </c>
      <c r="Y14" s="13" t="s">
        <v>144</v>
      </c>
      <c r="Z14" s="16">
        <v>4.2799999999999998E-2</v>
      </c>
      <c r="AA14" s="16">
        <v>48.2</v>
      </c>
      <c r="AB14" s="14">
        <v>43903</v>
      </c>
      <c r="AC14" s="139">
        <f t="shared" si="6"/>
        <v>2.6666666666666665</v>
      </c>
      <c r="AD14" s="13" t="s">
        <v>109</v>
      </c>
      <c r="AE14" s="16">
        <v>0.17380000000000001</v>
      </c>
      <c r="AF14" s="16">
        <v>62.16</v>
      </c>
      <c r="AG14" s="14">
        <v>43917</v>
      </c>
      <c r="AH14" s="139">
        <f t="shared" si="3"/>
        <v>3.1333333333333333</v>
      </c>
      <c r="AI14" s="13" t="s">
        <v>120</v>
      </c>
      <c r="AJ14" s="16">
        <v>0.1857</v>
      </c>
      <c r="AK14" s="40">
        <v>43</v>
      </c>
      <c r="AL14" s="154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4"/>
    </row>
    <row r="15" spans="1:223" s="51" customFormat="1" x14ac:dyDescent="0.25">
      <c r="A15" s="96" t="s">
        <v>40</v>
      </c>
      <c r="B15" s="23">
        <v>20</v>
      </c>
      <c r="C15" s="23" t="s">
        <v>6</v>
      </c>
      <c r="D15" s="25" t="s">
        <v>48</v>
      </c>
      <c r="E15" s="25" t="s">
        <v>19</v>
      </c>
      <c r="F15" s="49">
        <v>43830</v>
      </c>
      <c r="G15" s="49" t="s">
        <v>127</v>
      </c>
      <c r="H15" s="25" t="s">
        <v>10</v>
      </c>
      <c r="I15" s="49">
        <v>43868</v>
      </c>
      <c r="J15" s="140">
        <f t="shared" ref="J15:J16" si="8">(I15-F15)/30</f>
        <v>1.2666666666666666</v>
      </c>
      <c r="K15" s="50"/>
      <c r="L15" s="49">
        <v>43868</v>
      </c>
      <c r="M15" s="145">
        <f t="shared" si="0"/>
        <v>1.2666666666666666</v>
      </c>
      <c r="N15" s="51" t="s">
        <v>46</v>
      </c>
      <c r="O15" s="51">
        <v>0.17499999999999999</v>
      </c>
      <c r="P15" s="53">
        <v>114.6</v>
      </c>
      <c r="Q15" s="82"/>
      <c r="R15" s="52">
        <v>43882</v>
      </c>
      <c r="S15" s="145">
        <f t="shared" si="1"/>
        <v>1.7333333333333334</v>
      </c>
      <c r="T15" s="51" t="s">
        <v>70</v>
      </c>
      <c r="U15" s="51">
        <v>0.13689999999999999</v>
      </c>
      <c r="V15" s="51">
        <v>60.1</v>
      </c>
      <c r="W15" s="52">
        <v>43896</v>
      </c>
      <c r="X15" s="140">
        <f t="shared" si="2"/>
        <v>2.2000000000000002</v>
      </c>
      <c r="Y15" s="51" t="s">
        <v>145</v>
      </c>
      <c r="Z15" s="51">
        <v>0.2019</v>
      </c>
      <c r="AA15" s="51">
        <v>63.2</v>
      </c>
      <c r="AB15" s="49">
        <v>43910</v>
      </c>
      <c r="AC15" s="140">
        <f t="shared" si="6"/>
        <v>2.6666666666666665</v>
      </c>
      <c r="AD15" s="23" t="s">
        <v>110</v>
      </c>
      <c r="AE15" s="51">
        <v>0.34350000000000003</v>
      </c>
      <c r="AF15" s="51">
        <v>131.4</v>
      </c>
      <c r="AG15" s="50">
        <v>43924</v>
      </c>
      <c r="AH15" s="140">
        <f t="shared" si="3"/>
        <v>3.1333333333333333</v>
      </c>
      <c r="AI15" s="23" t="s">
        <v>121</v>
      </c>
      <c r="AJ15" s="51">
        <v>0.40210000000000001</v>
      </c>
      <c r="AK15" s="53">
        <v>332.9</v>
      </c>
      <c r="AL15" s="155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54"/>
    </row>
    <row r="16" spans="1:223" s="20" customFormat="1" x14ac:dyDescent="0.25">
      <c r="A16" s="134" t="s">
        <v>59</v>
      </c>
      <c r="B16" s="18">
        <v>21</v>
      </c>
      <c r="C16" s="104" t="s">
        <v>9</v>
      </c>
      <c r="D16" s="104" t="s">
        <v>61</v>
      </c>
      <c r="E16" s="104" t="s">
        <v>19</v>
      </c>
      <c r="F16" s="22">
        <v>43833</v>
      </c>
      <c r="G16" s="22" t="s">
        <v>127</v>
      </c>
      <c r="H16" s="104" t="s">
        <v>10</v>
      </c>
      <c r="I16" s="22">
        <v>43875</v>
      </c>
      <c r="J16" s="141">
        <f t="shared" si="8"/>
        <v>1.4</v>
      </c>
      <c r="K16" s="19">
        <v>43908</v>
      </c>
      <c r="L16" s="22">
        <v>43875</v>
      </c>
      <c r="M16" s="146">
        <f t="shared" si="0"/>
        <v>1.4</v>
      </c>
      <c r="N16" s="21" t="s">
        <v>135</v>
      </c>
      <c r="O16" s="21">
        <v>0.14319999999999999</v>
      </c>
      <c r="P16" s="41">
        <v>240.4</v>
      </c>
      <c r="Q16" s="82"/>
      <c r="R16" s="90">
        <v>43889</v>
      </c>
      <c r="S16" s="146">
        <f t="shared" si="1"/>
        <v>1.8666666666666667</v>
      </c>
      <c r="T16" s="18" t="s">
        <v>71</v>
      </c>
      <c r="U16" s="18">
        <v>0.20100000000000001</v>
      </c>
      <c r="V16" s="18">
        <v>75.8</v>
      </c>
      <c r="W16" s="90">
        <v>43903</v>
      </c>
      <c r="X16" s="146">
        <f t="shared" si="2"/>
        <v>2.3333333333333335</v>
      </c>
      <c r="Y16" s="18" t="s">
        <v>91</v>
      </c>
      <c r="Z16" s="21">
        <v>0.1231</v>
      </c>
      <c r="AA16" s="21">
        <v>87.81</v>
      </c>
      <c r="AB16" s="66"/>
      <c r="AC16" s="150">
        <f t="shared" si="6"/>
        <v>-1461.1</v>
      </c>
      <c r="AD16" s="55"/>
      <c r="AE16" s="64"/>
      <c r="AF16" s="64"/>
      <c r="AG16" s="87"/>
      <c r="AH16" s="151"/>
      <c r="AI16" s="55"/>
      <c r="AJ16" s="64"/>
      <c r="AK16" s="65"/>
      <c r="AL16" s="156">
        <v>43908</v>
      </c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45"/>
    </row>
    <row r="17" spans="1:223" s="20" customFormat="1" x14ac:dyDescent="0.25">
      <c r="A17" s="135"/>
      <c r="B17" s="18">
        <v>22</v>
      </c>
      <c r="C17" s="18">
        <v>1</v>
      </c>
      <c r="D17" s="104" t="s">
        <v>62</v>
      </c>
      <c r="E17" s="104" t="s">
        <v>19</v>
      </c>
      <c r="F17" s="22">
        <v>43833</v>
      </c>
      <c r="G17" s="22" t="s">
        <v>127</v>
      </c>
      <c r="H17" s="104" t="s">
        <v>10</v>
      </c>
      <c r="I17" s="22">
        <v>43875</v>
      </c>
      <c r="J17" s="141">
        <f t="shared" ref="J17:J19" si="9">(I17-F17)/30</f>
        <v>1.4</v>
      </c>
      <c r="K17" s="19">
        <v>43907</v>
      </c>
      <c r="L17" s="22">
        <v>43875</v>
      </c>
      <c r="M17" s="146">
        <f t="shared" si="0"/>
        <v>1.4</v>
      </c>
      <c r="N17" s="21" t="s">
        <v>54</v>
      </c>
      <c r="O17" s="21">
        <v>0.1191</v>
      </c>
      <c r="P17" s="41">
        <v>75.599999999999994</v>
      </c>
      <c r="Q17" s="82"/>
      <c r="R17" s="90">
        <v>43889</v>
      </c>
      <c r="S17" s="146">
        <f t="shared" si="1"/>
        <v>1.8666666666666667</v>
      </c>
      <c r="T17" s="18" t="s">
        <v>141</v>
      </c>
      <c r="U17" s="18">
        <v>8.2600000000000007E-2</v>
      </c>
      <c r="V17" s="18">
        <v>92.4</v>
      </c>
      <c r="W17" s="90">
        <v>43903</v>
      </c>
      <c r="X17" s="146">
        <f t="shared" si="2"/>
        <v>2.3333333333333335</v>
      </c>
      <c r="Y17" s="18" t="s">
        <v>103</v>
      </c>
      <c r="Z17" s="21">
        <v>9.9500000000000005E-2</v>
      </c>
      <c r="AA17" s="21">
        <v>94.91</v>
      </c>
      <c r="AB17" s="66"/>
      <c r="AC17" s="150">
        <f t="shared" si="6"/>
        <v>-1461.1</v>
      </c>
      <c r="AD17" s="55"/>
      <c r="AE17" s="64"/>
      <c r="AF17" s="64"/>
      <c r="AG17" s="87"/>
      <c r="AH17" s="151"/>
      <c r="AI17" s="55"/>
      <c r="AJ17" s="64"/>
      <c r="AK17" s="65"/>
      <c r="AL17" s="156">
        <v>43907</v>
      </c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45"/>
    </row>
    <row r="18" spans="1:223" s="20" customFormat="1" x14ac:dyDescent="0.25">
      <c r="A18" s="136"/>
      <c r="B18" s="18">
        <v>24</v>
      </c>
      <c r="C18" s="18">
        <v>7</v>
      </c>
      <c r="D18" s="104" t="s">
        <v>63</v>
      </c>
      <c r="E18" s="104" t="s">
        <v>19</v>
      </c>
      <c r="F18" s="22">
        <v>43833</v>
      </c>
      <c r="G18" s="22" t="s">
        <v>127</v>
      </c>
      <c r="H18" s="104" t="s">
        <v>10</v>
      </c>
      <c r="I18" s="22">
        <v>43875</v>
      </c>
      <c r="J18" s="141">
        <f t="shared" si="9"/>
        <v>1.4</v>
      </c>
      <c r="K18" s="19">
        <v>43906</v>
      </c>
      <c r="L18" s="22">
        <v>43875</v>
      </c>
      <c r="M18" s="146">
        <f t="shared" si="0"/>
        <v>1.4</v>
      </c>
      <c r="N18" s="21" t="s">
        <v>55</v>
      </c>
      <c r="O18" s="21">
        <v>0.14369999999999999</v>
      </c>
      <c r="P18" s="41">
        <v>176.8</v>
      </c>
      <c r="Q18" s="82"/>
      <c r="R18" s="90">
        <v>43889</v>
      </c>
      <c r="S18" s="146">
        <f t="shared" si="1"/>
        <v>1.8666666666666667</v>
      </c>
      <c r="T18" s="18" t="s">
        <v>72</v>
      </c>
      <c r="U18" s="18">
        <v>0.13159999999999999</v>
      </c>
      <c r="V18" s="18">
        <v>146.4</v>
      </c>
      <c r="W18" s="90">
        <v>43903</v>
      </c>
      <c r="X18" s="146">
        <f t="shared" si="2"/>
        <v>2.3333333333333335</v>
      </c>
      <c r="Y18" s="18" t="s">
        <v>104</v>
      </c>
      <c r="Z18" s="21">
        <v>0.1295</v>
      </c>
      <c r="AA18" s="21">
        <v>91.85</v>
      </c>
      <c r="AB18" s="66"/>
      <c r="AC18" s="150"/>
      <c r="AD18" s="55"/>
      <c r="AE18" s="64"/>
      <c r="AF18" s="64"/>
      <c r="AG18" s="87"/>
      <c r="AH18" s="151"/>
      <c r="AI18" s="55"/>
      <c r="AJ18" s="64"/>
      <c r="AK18" s="65"/>
      <c r="AL18" s="156">
        <v>43906</v>
      </c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45"/>
    </row>
    <row r="19" spans="1:223" s="60" customFormat="1" x14ac:dyDescent="0.25">
      <c r="A19" s="125" t="s">
        <v>60</v>
      </c>
      <c r="B19" s="56">
        <v>25</v>
      </c>
      <c r="C19" s="56" t="s">
        <v>9</v>
      </c>
      <c r="D19" s="57" t="s">
        <v>64</v>
      </c>
      <c r="E19" s="57" t="s">
        <v>39</v>
      </c>
      <c r="F19" s="58">
        <v>43833</v>
      </c>
      <c r="G19" s="58" t="s">
        <v>128</v>
      </c>
      <c r="H19" s="57" t="s">
        <v>10</v>
      </c>
      <c r="I19" s="58">
        <v>43875</v>
      </c>
      <c r="J19" s="142">
        <f t="shared" si="9"/>
        <v>1.4</v>
      </c>
      <c r="K19" s="59"/>
      <c r="L19" s="58">
        <v>43875</v>
      </c>
      <c r="M19" s="147">
        <f t="shared" si="0"/>
        <v>1.4</v>
      </c>
      <c r="N19" s="61" t="s">
        <v>56</v>
      </c>
      <c r="O19" s="61">
        <v>0.10680000000000001</v>
      </c>
      <c r="P19" s="62">
        <v>128.6</v>
      </c>
      <c r="Q19" s="82"/>
      <c r="R19" s="91">
        <v>43889</v>
      </c>
      <c r="S19" s="147">
        <f t="shared" si="1"/>
        <v>1.8666666666666667</v>
      </c>
      <c r="T19" s="61" t="s">
        <v>82</v>
      </c>
      <c r="U19" s="61">
        <v>0.2142</v>
      </c>
      <c r="V19" s="61">
        <v>25</v>
      </c>
      <c r="W19" s="91">
        <v>43903</v>
      </c>
      <c r="X19" s="147">
        <f t="shared" si="2"/>
        <v>2.3333333333333335</v>
      </c>
      <c r="Y19" s="56" t="s">
        <v>105</v>
      </c>
      <c r="Z19" s="61">
        <v>0.17730000000000001</v>
      </c>
      <c r="AA19" s="61">
        <v>272.10000000000002</v>
      </c>
      <c r="AB19" s="91">
        <v>43917</v>
      </c>
      <c r="AC19" s="142">
        <f t="shared" ref="AC19:AC25" si="10">(AB19-F19)/30</f>
        <v>2.8</v>
      </c>
      <c r="AD19" s="56" t="s">
        <v>111</v>
      </c>
      <c r="AE19" s="61">
        <v>0.21110000000000001</v>
      </c>
      <c r="AF19" s="62">
        <v>64.7</v>
      </c>
      <c r="AG19" s="105">
        <v>43931</v>
      </c>
      <c r="AH19" s="142">
        <f>(AG19-F19)/30</f>
        <v>3.2666666666666666</v>
      </c>
      <c r="AI19" s="56" t="s">
        <v>122</v>
      </c>
      <c r="AJ19" s="61">
        <v>0.1754</v>
      </c>
      <c r="AK19" s="62">
        <v>36.4</v>
      </c>
      <c r="AL19" s="157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63"/>
    </row>
    <row r="20" spans="1:223" s="60" customFormat="1" x14ac:dyDescent="0.25">
      <c r="A20" s="126"/>
      <c r="B20" s="56">
        <v>26</v>
      </c>
      <c r="C20" s="56">
        <v>3</v>
      </c>
      <c r="D20" s="57" t="s">
        <v>65</v>
      </c>
      <c r="E20" s="57" t="s">
        <v>39</v>
      </c>
      <c r="F20" s="58">
        <v>43833</v>
      </c>
      <c r="G20" s="58" t="s">
        <v>128</v>
      </c>
      <c r="H20" s="57" t="s">
        <v>10</v>
      </c>
      <c r="I20" s="58">
        <v>43875</v>
      </c>
      <c r="J20" s="142">
        <f t="shared" ref="J20" si="11">(I20-F20)/30</f>
        <v>1.4</v>
      </c>
      <c r="K20" s="59"/>
      <c r="L20" s="58">
        <v>43875</v>
      </c>
      <c r="M20" s="147">
        <f t="shared" si="0"/>
        <v>1.4</v>
      </c>
      <c r="N20" s="61" t="s">
        <v>57</v>
      </c>
      <c r="O20" s="61">
        <v>0.1452</v>
      </c>
      <c r="P20" s="62">
        <v>173.9</v>
      </c>
      <c r="Q20" s="82"/>
      <c r="R20" s="91">
        <v>43889</v>
      </c>
      <c r="S20" s="147">
        <f t="shared" si="1"/>
        <v>1.8666666666666667</v>
      </c>
      <c r="T20" s="61" t="s">
        <v>83</v>
      </c>
      <c r="U20" s="61">
        <v>0.13189999999999999</v>
      </c>
      <c r="V20" s="61">
        <v>160</v>
      </c>
      <c r="W20" s="91">
        <v>43903</v>
      </c>
      <c r="X20" s="147">
        <f t="shared" si="2"/>
        <v>2.3333333333333335</v>
      </c>
      <c r="Y20" s="56" t="s">
        <v>106</v>
      </c>
      <c r="Z20" s="61">
        <v>8.9700000000000002E-2</v>
      </c>
      <c r="AA20" s="61">
        <v>231.31</v>
      </c>
      <c r="AB20" s="91">
        <v>43917</v>
      </c>
      <c r="AC20" s="142">
        <f t="shared" si="10"/>
        <v>2.8</v>
      </c>
      <c r="AD20" s="56" t="s">
        <v>112</v>
      </c>
      <c r="AE20" s="61">
        <v>0.2392</v>
      </c>
      <c r="AF20" s="62">
        <v>79.099999999999994</v>
      </c>
      <c r="AG20" s="105">
        <v>43931</v>
      </c>
      <c r="AH20" s="142">
        <f>(AG20-F20)/30</f>
        <v>3.2666666666666666</v>
      </c>
      <c r="AI20" s="56" t="s">
        <v>123</v>
      </c>
      <c r="AJ20" s="61">
        <v>1.3332999999999999E-2</v>
      </c>
      <c r="AK20" s="62">
        <v>44</v>
      </c>
      <c r="AL20" s="157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63"/>
    </row>
    <row r="21" spans="1:223" s="60" customFormat="1" x14ac:dyDescent="0.25">
      <c r="A21" s="127"/>
      <c r="B21" s="56">
        <v>28</v>
      </c>
      <c r="C21" s="56" t="s">
        <v>6</v>
      </c>
      <c r="D21" s="57" t="s">
        <v>66</v>
      </c>
      <c r="E21" s="57" t="s">
        <v>39</v>
      </c>
      <c r="F21" s="58">
        <v>43833</v>
      </c>
      <c r="G21" s="58" t="s">
        <v>128</v>
      </c>
      <c r="H21" s="57" t="s">
        <v>10</v>
      </c>
      <c r="I21" s="58">
        <v>43875</v>
      </c>
      <c r="J21" s="142">
        <f t="shared" ref="J21" si="12">(I21-F21)/30</f>
        <v>1.4</v>
      </c>
      <c r="K21" s="59"/>
      <c r="L21" s="58">
        <v>43875</v>
      </c>
      <c r="M21" s="147">
        <f t="shared" si="0"/>
        <v>1.4</v>
      </c>
      <c r="N21" s="61" t="s">
        <v>136</v>
      </c>
      <c r="O21" s="61">
        <v>0.17199999999999999</v>
      </c>
      <c r="P21" s="62">
        <v>98.7</v>
      </c>
      <c r="Q21" s="82"/>
      <c r="R21" s="91">
        <v>43889</v>
      </c>
      <c r="S21" s="147">
        <f t="shared" si="1"/>
        <v>1.8666666666666667</v>
      </c>
      <c r="T21" s="61" t="s">
        <v>84</v>
      </c>
      <c r="U21" s="61">
        <v>0.2097</v>
      </c>
      <c r="V21" s="61">
        <v>151.1</v>
      </c>
      <c r="W21" s="91">
        <v>43903</v>
      </c>
      <c r="X21" s="147">
        <f t="shared" si="2"/>
        <v>2.3333333333333335</v>
      </c>
      <c r="Y21" s="56" t="s">
        <v>99</v>
      </c>
      <c r="Z21" s="61">
        <v>8.5699999999999998E-2</v>
      </c>
      <c r="AA21" s="61">
        <v>194.11</v>
      </c>
      <c r="AB21" s="91">
        <v>43917</v>
      </c>
      <c r="AC21" s="142">
        <f t="shared" si="10"/>
        <v>2.8</v>
      </c>
      <c r="AD21" s="56" t="s">
        <v>113</v>
      </c>
      <c r="AE21" s="61">
        <v>0.1832</v>
      </c>
      <c r="AF21" s="62">
        <v>67.2</v>
      </c>
      <c r="AG21" s="105">
        <v>43931</v>
      </c>
      <c r="AH21" s="142">
        <f>(AG21-F21)/30</f>
        <v>3.2666666666666666</v>
      </c>
      <c r="AI21" s="56" t="s">
        <v>124</v>
      </c>
      <c r="AJ21" s="61">
        <v>0.16320000000000001</v>
      </c>
      <c r="AK21" s="62">
        <v>35.299999999999997</v>
      </c>
      <c r="AL21" s="157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63"/>
    </row>
    <row r="22" spans="1:223" s="74" customFormat="1" x14ac:dyDescent="0.25">
      <c r="A22" s="128" t="s">
        <v>73</v>
      </c>
      <c r="B22" s="69">
        <v>30</v>
      </c>
      <c r="C22" s="69" t="s">
        <v>47</v>
      </c>
      <c r="D22" s="70" t="s">
        <v>74</v>
      </c>
      <c r="E22" s="70" t="s">
        <v>19</v>
      </c>
      <c r="F22" s="71">
        <v>43846</v>
      </c>
      <c r="G22" s="71" t="s">
        <v>127</v>
      </c>
      <c r="H22" s="70" t="s">
        <v>10</v>
      </c>
      <c r="I22" s="71">
        <v>43889</v>
      </c>
      <c r="J22" s="143">
        <f t="shared" ref="J22:J24" si="13">(I22-F22)/30</f>
        <v>1.4333333333333333</v>
      </c>
      <c r="K22" s="72">
        <v>43921</v>
      </c>
      <c r="L22" s="71">
        <v>43889</v>
      </c>
      <c r="M22" s="148">
        <f t="shared" si="0"/>
        <v>1.4333333333333333</v>
      </c>
      <c r="N22" s="73" t="s">
        <v>49</v>
      </c>
      <c r="O22" s="73">
        <v>0.1021</v>
      </c>
      <c r="P22" s="76">
        <v>106.2</v>
      </c>
      <c r="Q22" s="82"/>
      <c r="R22" s="72">
        <v>43903</v>
      </c>
      <c r="S22" s="148">
        <f t="shared" si="1"/>
        <v>1.9</v>
      </c>
      <c r="T22" s="73" t="s">
        <v>85</v>
      </c>
      <c r="U22" s="73">
        <v>0.1381</v>
      </c>
      <c r="V22" s="73">
        <v>129.38999999999999</v>
      </c>
      <c r="W22" s="72">
        <v>43917</v>
      </c>
      <c r="X22" s="148">
        <f t="shared" si="2"/>
        <v>2.3666666666666667</v>
      </c>
      <c r="Y22" s="73" t="s">
        <v>100</v>
      </c>
      <c r="Z22" s="73">
        <v>0.16619999999999999</v>
      </c>
      <c r="AA22" s="73">
        <v>149.19999999999999</v>
      </c>
      <c r="AB22" s="68"/>
      <c r="AC22" s="150"/>
      <c r="AD22" s="55"/>
      <c r="AE22" s="64"/>
      <c r="AF22" s="64"/>
      <c r="AG22" s="68"/>
      <c r="AH22" s="151"/>
      <c r="AI22" s="55"/>
      <c r="AJ22" s="64"/>
      <c r="AK22" s="64"/>
      <c r="AL22" s="158">
        <v>43921</v>
      </c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160"/>
    </row>
    <row r="23" spans="1:223" s="74" customFormat="1" x14ac:dyDescent="0.25">
      <c r="A23" s="128"/>
      <c r="B23" s="69">
        <v>31</v>
      </c>
      <c r="C23" s="69">
        <v>1</v>
      </c>
      <c r="D23" s="70" t="s">
        <v>75</v>
      </c>
      <c r="E23" s="70" t="s">
        <v>19</v>
      </c>
      <c r="F23" s="71">
        <v>43853</v>
      </c>
      <c r="G23" s="71" t="s">
        <v>127</v>
      </c>
      <c r="H23" s="70" t="s">
        <v>10</v>
      </c>
      <c r="I23" s="71">
        <v>43889</v>
      </c>
      <c r="J23" s="143">
        <f t="shared" si="13"/>
        <v>1.2</v>
      </c>
      <c r="K23" s="72">
        <v>43923</v>
      </c>
      <c r="L23" s="71">
        <v>43889</v>
      </c>
      <c r="M23" s="148">
        <f t="shared" si="0"/>
        <v>1.2</v>
      </c>
      <c r="N23" s="73" t="s">
        <v>50</v>
      </c>
      <c r="O23" s="73">
        <v>9.3200000000000005E-2</v>
      </c>
      <c r="P23" s="76">
        <v>83.5</v>
      </c>
      <c r="Q23" s="82"/>
      <c r="R23" s="72">
        <v>43903</v>
      </c>
      <c r="S23" s="148">
        <f t="shared" si="1"/>
        <v>1.6666666666666667</v>
      </c>
      <c r="T23" s="73" t="s">
        <v>86</v>
      </c>
      <c r="U23" s="73">
        <v>0.111</v>
      </c>
      <c r="V23" s="73">
        <v>59.26</v>
      </c>
      <c r="W23" s="72">
        <v>43917</v>
      </c>
      <c r="X23" s="148">
        <f t="shared" si="2"/>
        <v>2.1333333333333333</v>
      </c>
      <c r="Y23" s="73" t="s">
        <v>101</v>
      </c>
      <c r="Z23" s="73">
        <v>0.16830000000000001</v>
      </c>
      <c r="AA23" s="73">
        <v>81.8</v>
      </c>
      <c r="AB23" s="68"/>
      <c r="AC23" s="150">
        <f t="shared" si="10"/>
        <v>-1461.7666666666667</v>
      </c>
      <c r="AD23" s="55"/>
      <c r="AE23" s="64"/>
      <c r="AF23" s="64"/>
      <c r="AG23" s="68"/>
      <c r="AH23" s="151"/>
      <c r="AI23" s="55"/>
      <c r="AJ23" s="64"/>
      <c r="AK23" s="64"/>
      <c r="AL23" s="158">
        <v>43923</v>
      </c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160"/>
    </row>
    <row r="24" spans="1:223" s="74" customFormat="1" x14ac:dyDescent="0.25">
      <c r="A24" s="128"/>
      <c r="B24" s="69">
        <v>32</v>
      </c>
      <c r="C24" s="69" t="s">
        <v>5</v>
      </c>
      <c r="D24" s="70" t="s">
        <v>76</v>
      </c>
      <c r="E24" s="70" t="s">
        <v>19</v>
      </c>
      <c r="F24" s="71">
        <v>43853</v>
      </c>
      <c r="G24" s="71" t="s">
        <v>127</v>
      </c>
      <c r="H24" s="70" t="s">
        <v>10</v>
      </c>
      <c r="I24" s="71">
        <v>43889</v>
      </c>
      <c r="J24" s="143">
        <f t="shared" si="13"/>
        <v>1.2</v>
      </c>
      <c r="K24" s="72">
        <v>43922</v>
      </c>
      <c r="L24" s="71">
        <v>43889</v>
      </c>
      <c r="M24" s="148">
        <f t="shared" si="0"/>
        <v>1.2</v>
      </c>
      <c r="N24" s="73" t="s">
        <v>51</v>
      </c>
      <c r="O24" s="73">
        <v>0.1179</v>
      </c>
      <c r="P24" s="76">
        <v>70</v>
      </c>
      <c r="Q24" s="82"/>
      <c r="R24" s="72">
        <v>43903</v>
      </c>
      <c r="S24" s="148">
        <f t="shared" si="1"/>
        <v>1.6666666666666667</v>
      </c>
      <c r="T24" s="73" t="s">
        <v>78</v>
      </c>
      <c r="U24" s="73">
        <v>0.11070000000000001</v>
      </c>
      <c r="V24" s="73">
        <v>60.81</v>
      </c>
      <c r="W24" s="72">
        <v>43917</v>
      </c>
      <c r="X24" s="148">
        <f t="shared" si="2"/>
        <v>2.1333333333333333</v>
      </c>
      <c r="Y24" s="73" t="s">
        <v>102</v>
      </c>
      <c r="Z24" s="73">
        <v>0.1237</v>
      </c>
      <c r="AA24" s="73">
        <v>40.9</v>
      </c>
      <c r="AB24" s="68"/>
      <c r="AC24" s="150">
        <f t="shared" si="10"/>
        <v>-1461.7666666666667</v>
      </c>
      <c r="AD24" s="55"/>
      <c r="AE24" s="64"/>
      <c r="AF24" s="64"/>
      <c r="AG24" s="68"/>
      <c r="AH24" s="151"/>
      <c r="AI24" s="55"/>
      <c r="AJ24" s="64"/>
      <c r="AK24" s="64"/>
      <c r="AL24" s="158">
        <v>43922</v>
      </c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160"/>
    </row>
    <row r="25" spans="1:223" s="83" customFormat="1" x14ac:dyDescent="0.25">
      <c r="A25" s="95" t="s">
        <v>87</v>
      </c>
      <c r="B25" s="102">
        <v>36</v>
      </c>
      <c r="C25" s="102">
        <v>3</v>
      </c>
      <c r="D25" s="103" t="s">
        <v>77</v>
      </c>
      <c r="E25" s="103" t="s">
        <v>39</v>
      </c>
      <c r="F25" s="84">
        <v>43853</v>
      </c>
      <c r="G25" s="84" t="s">
        <v>129</v>
      </c>
      <c r="H25" s="103" t="s">
        <v>10</v>
      </c>
      <c r="I25" s="84">
        <v>43889</v>
      </c>
      <c r="J25" s="144">
        <f t="shared" ref="J25" si="14">(I25-F25)/30</f>
        <v>1.2</v>
      </c>
      <c r="K25" s="84">
        <v>43920</v>
      </c>
      <c r="L25" s="84">
        <v>43889</v>
      </c>
      <c r="M25" s="149">
        <f t="shared" si="0"/>
        <v>1.2</v>
      </c>
      <c r="N25" s="85" t="s">
        <v>52</v>
      </c>
      <c r="O25" s="85">
        <v>9.1200000000000003E-2</v>
      </c>
      <c r="P25" s="88">
        <v>69.099999999999994</v>
      </c>
      <c r="Q25" s="86"/>
      <c r="R25" s="94">
        <v>43903</v>
      </c>
      <c r="S25" s="149">
        <f t="shared" si="1"/>
        <v>1.6666666666666667</v>
      </c>
      <c r="T25" s="85" t="s">
        <v>79</v>
      </c>
      <c r="U25" s="85">
        <v>6.9900000000000004E-2</v>
      </c>
      <c r="V25" s="85">
        <v>84.59</v>
      </c>
      <c r="W25" s="94">
        <v>43917</v>
      </c>
      <c r="X25" s="149">
        <f t="shared" si="2"/>
        <v>2.1333333333333333</v>
      </c>
      <c r="Y25" s="85" t="s">
        <v>93</v>
      </c>
      <c r="Z25" s="85">
        <v>0.19800000000000001</v>
      </c>
      <c r="AA25" s="85">
        <v>81.5</v>
      </c>
      <c r="AB25" s="68"/>
      <c r="AC25" s="150">
        <f t="shared" si="10"/>
        <v>-1461.7666666666667</v>
      </c>
      <c r="AD25" s="101"/>
      <c r="AE25" s="101"/>
      <c r="AF25" s="101"/>
      <c r="AG25" s="68"/>
      <c r="AH25" s="152"/>
      <c r="AI25" s="101"/>
      <c r="AJ25" s="101"/>
      <c r="AK25" s="101"/>
      <c r="AL25" s="159">
        <v>43920</v>
      </c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46"/>
      <c r="DE25" s="46"/>
      <c r="DF25" s="46"/>
      <c r="DG25" s="46"/>
      <c r="DH25" s="46"/>
      <c r="DI25" s="46"/>
      <c r="DJ25" s="46"/>
      <c r="DK25" s="46"/>
      <c r="DL25" s="46"/>
      <c r="DM25" s="46"/>
      <c r="DN25" s="46"/>
      <c r="DO25" s="46"/>
      <c r="DP25" s="46"/>
      <c r="DQ25" s="46"/>
      <c r="DR25" s="46"/>
      <c r="DS25" s="46"/>
      <c r="DT25" s="46"/>
      <c r="DU25" s="46"/>
      <c r="DV25" s="46"/>
      <c r="DW25" s="46"/>
      <c r="DX25" s="46"/>
      <c r="DY25" s="46"/>
      <c r="DZ25" s="46"/>
      <c r="EA25" s="46"/>
      <c r="EB25" s="46"/>
      <c r="EC25" s="46"/>
      <c r="ED25" s="46"/>
      <c r="EE25" s="46"/>
      <c r="EF25" s="46"/>
      <c r="EG25" s="46"/>
      <c r="EH25" s="46"/>
      <c r="EI25" s="46"/>
      <c r="EJ25" s="46"/>
      <c r="EK25" s="46"/>
      <c r="EL25" s="46"/>
      <c r="EM25" s="46"/>
      <c r="EN25" s="46"/>
      <c r="EO25" s="46"/>
      <c r="EP25" s="46"/>
      <c r="EQ25" s="46"/>
      <c r="ER25" s="46"/>
      <c r="ES25" s="46"/>
      <c r="ET25" s="46"/>
      <c r="EU25" s="46"/>
      <c r="EV25" s="46"/>
      <c r="EW25" s="46"/>
      <c r="EX25" s="46"/>
      <c r="EY25" s="46"/>
      <c r="EZ25" s="46"/>
      <c r="FA25" s="46"/>
      <c r="FB25" s="46"/>
      <c r="FC25" s="46"/>
      <c r="FD25" s="46"/>
      <c r="FE25" s="46"/>
      <c r="FF25" s="46"/>
      <c r="FG25" s="46"/>
      <c r="FH25" s="46"/>
      <c r="FI25" s="46"/>
      <c r="FJ25" s="46"/>
      <c r="FK25" s="46"/>
      <c r="FL25" s="46"/>
      <c r="FM25" s="46"/>
      <c r="FN25" s="46"/>
      <c r="FO25" s="46"/>
      <c r="FP25" s="46"/>
      <c r="FQ25" s="46"/>
      <c r="FR25" s="46"/>
      <c r="FS25" s="46"/>
      <c r="FT25" s="46"/>
      <c r="FU25" s="46"/>
      <c r="FV25" s="46"/>
      <c r="FW25" s="46"/>
      <c r="FX25" s="46"/>
      <c r="FY25" s="46"/>
      <c r="FZ25" s="46"/>
      <c r="GA25" s="46"/>
      <c r="GB25" s="46"/>
      <c r="GC25" s="46"/>
      <c r="GD25" s="46"/>
      <c r="GE25" s="46"/>
      <c r="GF25" s="46"/>
      <c r="GG25" s="46"/>
      <c r="GH25" s="46"/>
      <c r="GI25" s="46"/>
      <c r="GJ25" s="46"/>
      <c r="GK25" s="46"/>
      <c r="GL25" s="46"/>
      <c r="GM25" s="46"/>
      <c r="GN25" s="46"/>
      <c r="GO25" s="46"/>
      <c r="GP25" s="46"/>
      <c r="GQ25" s="46"/>
      <c r="GR25" s="46"/>
      <c r="GS25" s="46"/>
      <c r="GT25" s="46"/>
      <c r="GU25" s="46"/>
      <c r="GV25" s="46"/>
      <c r="GW25" s="46"/>
      <c r="GX25" s="46"/>
      <c r="GY25" s="46"/>
      <c r="GZ25" s="46"/>
      <c r="HA25" s="46"/>
      <c r="HB25" s="46"/>
      <c r="HC25" s="46"/>
      <c r="HD25" s="46"/>
      <c r="HE25" s="46"/>
      <c r="HF25" s="46"/>
      <c r="HG25" s="46"/>
      <c r="HH25" s="46"/>
      <c r="HI25" s="46"/>
      <c r="HJ25" s="46"/>
      <c r="HK25" s="46"/>
      <c r="HL25" s="46"/>
      <c r="HM25" s="46"/>
      <c r="HN25" s="46"/>
      <c r="HO25" s="161"/>
    </row>
    <row r="26" spans="1:223" x14ac:dyDescent="0.25">
      <c r="F26" s="89"/>
      <c r="I26" s="92"/>
      <c r="J26" s="93"/>
      <c r="M26" s="1"/>
      <c r="N26" s="1"/>
      <c r="O26" s="1"/>
      <c r="P26" s="1"/>
    </row>
    <row r="27" spans="1:223" x14ac:dyDescent="0.25">
      <c r="A27" s="97" t="s">
        <v>18</v>
      </c>
      <c r="B27" s="98" t="s">
        <v>14</v>
      </c>
      <c r="C27" s="17" t="s">
        <v>13</v>
      </c>
      <c r="D27" s="129" t="s">
        <v>147</v>
      </c>
      <c r="E27" s="129"/>
      <c r="F27" s="129"/>
      <c r="G27" s="129"/>
      <c r="AK27" s="46"/>
    </row>
  </sheetData>
  <mergeCells count="24">
    <mergeCell ref="D27:G27"/>
    <mergeCell ref="A6:A10"/>
    <mergeCell ref="A11:A14"/>
    <mergeCell ref="A16:A18"/>
    <mergeCell ref="A1:E1"/>
    <mergeCell ref="A2:E2"/>
    <mergeCell ref="A19:A21"/>
    <mergeCell ref="K4:K5"/>
    <mergeCell ref="A22:A24"/>
    <mergeCell ref="C4:C5"/>
    <mergeCell ref="D4:D5"/>
    <mergeCell ref="E4:E5"/>
    <mergeCell ref="B4:B5"/>
    <mergeCell ref="L3:P3"/>
    <mergeCell ref="AB3:AF3"/>
    <mergeCell ref="AG3:AK3"/>
    <mergeCell ref="R3:V3"/>
    <mergeCell ref="W3:AA3"/>
    <mergeCell ref="N4:P4"/>
    <mergeCell ref="F4:F5"/>
    <mergeCell ref="H4:H5"/>
    <mergeCell ref="I4:I5"/>
    <mergeCell ref="J4:J5"/>
    <mergeCell ref="G4:G5"/>
  </mergeCells>
  <pageMargins left="0.25" right="0.25" top="0.75" bottom="0.75" header="0.3" footer="0.3"/>
  <pageSetup paperSize="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Stools PAX5 BMT</vt:lpstr>
    </vt:vector>
  </TitlesOfParts>
  <Company>CSIC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Vicente Dueñas</dc:creator>
  <cp:lastModifiedBy>Usuario</cp:lastModifiedBy>
  <cp:lastPrinted>2020-04-15T14:33:14Z</cp:lastPrinted>
  <dcterms:created xsi:type="dcterms:W3CDTF">2012-03-12T08:27:10Z</dcterms:created>
  <dcterms:modified xsi:type="dcterms:W3CDTF">2020-04-16T15:16:15Z</dcterms:modified>
</cp:coreProperties>
</file>